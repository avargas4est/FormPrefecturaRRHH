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1260" windowWidth="24240" windowHeight="10770"/>
  </bookViews>
  <sheets>
    <sheet name="Vigentes" sheetId="1" r:id="rId1"/>
    <sheet name="Historico" sheetId="2" r:id="rId2"/>
    <sheet name="entregados a gaby" sheetId="3" r:id="rId3"/>
    <sheet name="faltan autorizados" sheetId="4" r:id="rId4"/>
    <sheet name="Hoja1" sheetId="5" r:id="rId5"/>
  </sheets>
  <definedNames>
    <definedName name="_xlnm._FilterDatabase" localSheetId="0" hidden="1">Vigentes!$A$4:$A$92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4" i="1" l="1"/>
  <c r="I145" i="1"/>
  <c r="K145" i="1" s="1"/>
  <c r="I146" i="1"/>
  <c r="J146" i="1" s="1"/>
  <c r="I147" i="1"/>
  <c r="J147" i="1" s="1"/>
  <c r="I148" i="1"/>
  <c r="I149" i="1"/>
  <c r="J149" i="1" s="1"/>
  <c r="I150" i="1"/>
  <c r="I151" i="1"/>
  <c r="I152" i="1"/>
  <c r="K152" i="1" s="1"/>
  <c r="I153" i="1"/>
  <c r="K153" i="1" s="1"/>
  <c r="J145" i="1"/>
  <c r="J148" i="1"/>
  <c r="J150" i="1"/>
  <c r="J151" i="1"/>
  <c r="J153" i="1"/>
  <c r="K143" i="1"/>
  <c r="K148" i="1"/>
  <c r="K149" i="1"/>
  <c r="K150" i="1"/>
  <c r="K151" i="1"/>
  <c r="K134" i="1"/>
  <c r="K135" i="1"/>
  <c r="K136" i="1"/>
  <c r="K137" i="1"/>
  <c r="K139" i="1"/>
  <c r="K140" i="1"/>
  <c r="K141" i="1"/>
  <c r="K142" i="1"/>
  <c r="J142" i="1" s="1"/>
  <c r="J144" i="1" l="1"/>
  <c r="K147" i="1"/>
  <c r="K146" i="1"/>
  <c r="J152" i="1"/>
  <c r="J143" i="1"/>
  <c r="J141" i="1"/>
  <c r="J140" i="1"/>
  <c r="J139" i="1" l="1"/>
  <c r="K133" i="1"/>
  <c r="J133" i="1" s="1"/>
  <c r="I138" i="1"/>
  <c r="K130" i="1"/>
  <c r="J130" i="1" s="1"/>
  <c r="K131" i="1"/>
  <c r="J131" i="1" s="1"/>
  <c r="K132" i="1"/>
  <c r="J132" i="1" s="1"/>
  <c r="J138" i="1" l="1"/>
  <c r="K138" i="1"/>
  <c r="J134" i="1"/>
  <c r="J137" i="1"/>
  <c r="J136" i="1"/>
  <c r="J135" i="1"/>
  <c r="K121" i="1"/>
  <c r="K122" i="1"/>
  <c r="K123" i="1"/>
  <c r="K124" i="1"/>
  <c r="K125" i="1"/>
  <c r="K126" i="1"/>
  <c r="K127" i="1"/>
  <c r="K128" i="1"/>
  <c r="K129" i="1"/>
  <c r="J125" i="1" l="1"/>
  <c r="J123" i="1"/>
  <c r="J124" i="1"/>
  <c r="J129" i="1"/>
  <c r="J128" i="1"/>
  <c r="J126" i="1"/>
  <c r="J127" i="1"/>
  <c r="K117" i="1"/>
  <c r="J117" i="1" s="1"/>
  <c r="K116" i="1"/>
  <c r="J116" i="1" s="1"/>
  <c r="K115" i="1"/>
  <c r="J115" i="1" s="1"/>
  <c r="K113" i="1"/>
  <c r="J113" i="1"/>
  <c r="K112" i="1"/>
  <c r="J112" i="1" s="1"/>
  <c r="K111" i="1"/>
  <c r="J111" i="1" s="1"/>
  <c r="K101" i="1" l="1"/>
  <c r="J101" i="1"/>
  <c r="K96" i="1" l="1"/>
  <c r="J96" i="1"/>
  <c r="K90" i="1" l="1"/>
  <c r="J90" i="1" s="1"/>
  <c r="K97" i="1"/>
  <c r="J97" i="1" s="1"/>
  <c r="K98" i="1"/>
  <c r="J98" i="1" s="1"/>
  <c r="K100" i="1"/>
  <c r="J100" i="1" s="1"/>
  <c r="K102" i="1"/>
  <c r="K105" i="1"/>
  <c r="K106" i="1"/>
  <c r="K109" i="1"/>
  <c r="K110" i="1"/>
  <c r="K114" i="1"/>
  <c r="J114" i="1" s="1"/>
  <c r="K118" i="1"/>
  <c r="K91" i="1"/>
  <c r="K92" i="1"/>
  <c r="K89" i="1"/>
  <c r="J89" i="1" s="1"/>
  <c r="J118" i="1" l="1"/>
  <c r="K108" i="1"/>
  <c r="J108" i="1" s="1"/>
  <c r="K104" i="1"/>
  <c r="J104" i="1" s="1"/>
  <c r="J102" i="1"/>
  <c r="K119" i="1"/>
  <c r="J119" i="1" s="1"/>
  <c r="J109" i="1"/>
  <c r="J110" i="1"/>
  <c r="K94" i="1"/>
  <c r="J94" i="1" s="1"/>
  <c r="K93" i="1"/>
  <c r="J93" i="1" s="1"/>
  <c r="J91" i="1"/>
  <c r="K95" i="1"/>
  <c r="J95" i="1" s="1"/>
  <c r="K103" i="1"/>
  <c r="J103" i="1" s="1"/>
  <c r="J92" i="1"/>
  <c r="K120" i="1"/>
  <c r="J120" i="1" s="1"/>
  <c r="J106" i="1"/>
  <c r="K99" i="1"/>
  <c r="J99" i="1" s="1"/>
  <c r="J121" i="1"/>
  <c r="J105" i="1"/>
  <c r="J122" i="1"/>
  <c r="K107" i="1"/>
  <c r="J107" i="1" s="1"/>
  <c r="K88" i="1"/>
  <c r="J88" i="1" s="1"/>
  <c r="K87" i="1" l="1"/>
  <c r="J87" i="1" s="1"/>
  <c r="I85" i="1" l="1"/>
  <c r="K86" i="1"/>
  <c r="J86" i="1" s="1"/>
  <c r="I79" i="1"/>
  <c r="K85" i="1" l="1"/>
  <c r="J85" i="1" s="1"/>
  <c r="K84" i="1"/>
  <c r="J84" i="1" s="1"/>
  <c r="K83" i="1"/>
  <c r="J83" i="1" s="1"/>
  <c r="K82" i="1"/>
  <c r="J82" i="1" s="1"/>
  <c r="K81" i="1"/>
  <c r="J81" i="1" s="1"/>
  <c r="K80" i="1"/>
  <c r="J80" i="1" s="1"/>
  <c r="K79" i="1"/>
  <c r="J79" i="1" s="1"/>
  <c r="K78" i="1"/>
  <c r="J78" i="1" s="1"/>
  <c r="K77" i="1"/>
  <c r="J77" i="1" s="1"/>
  <c r="K76" i="1"/>
  <c r="J76" i="1" s="1"/>
  <c r="K75" i="1"/>
  <c r="J75" i="1" s="1"/>
  <c r="K74" i="1"/>
  <c r="J74" i="1" s="1"/>
  <c r="I72" i="1" l="1"/>
  <c r="K73" i="1" l="1"/>
  <c r="J73" i="1" s="1"/>
  <c r="K72" i="1"/>
  <c r="J72" i="1" s="1"/>
  <c r="K71" i="1"/>
  <c r="J71" i="1" s="1"/>
  <c r="K70" i="1"/>
  <c r="J70" i="1" s="1"/>
  <c r="K69" i="1"/>
  <c r="J69" i="1" s="1"/>
  <c r="K67" i="1" l="1"/>
  <c r="J67" i="1" s="1"/>
  <c r="K66" i="1"/>
  <c r="J66" i="1" s="1"/>
  <c r="K68" i="1" l="1"/>
  <c r="J68" i="1" s="1"/>
  <c r="K65" i="1"/>
  <c r="J65" i="1" s="1"/>
  <c r="K62" i="1"/>
  <c r="J62" i="1" s="1"/>
  <c r="K64" i="1" l="1"/>
  <c r="J64" i="1" s="1"/>
  <c r="K63" i="1"/>
  <c r="J63" i="1" s="1"/>
  <c r="K61" i="1"/>
  <c r="J61" i="1" s="1"/>
  <c r="I60" i="1"/>
  <c r="I58" i="1"/>
  <c r="I57" i="1"/>
  <c r="K56" i="1"/>
  <c r="J56" i="1" s="1"/>
  <c r="K60" i="1" l="1"/>
  <c r="J60" i="1" s="1"/>
  <c r="K59" i="1"/>
  <c r="J59" i="1" s="1"/>
  <c r="K58" i="1"/>
  <c r="J58" i="1" s="1"/>
  <c r="K57" i="1"/>
  <c r="J57" i="1" s="1"/>
  <c r="I53" i="1"/>
  <c r="K47" i="1"/>
  <c r="J47" i="1" s="1"/>
  <c r="K45" i="1"/>
  <c r="J45" i="1" s="1"/>
  <c r="K40" i="1"/>
  <c r="J40" i="1" s="1"/>
  <c r="K55" i="1" l="1"/>
  <c r="J55" i="1" s="1"/>
  <c r="K54" i="1"/>
  <c r="J54" i="1" s="1"/>
  <c r="K53" i="1"/>
  <c r="J53" i="1" s="1"/>
  <c r="K52" i="1"/>
  <c r="J52" i="1" s="1"/>
  <c r="K51" i="1"/>
  <c r="J51" i="1" s="1"/>
  <c r="K50" i="1"/>
  <c r="J50" i="1" s="1"/>
  <c r="K49" i="1"/>
  <c r="J49" i="1" s="1"/>
  <c r="K48" i="1"/>
  <c r="J48" i="1" s="1"/>
  <c r="K46" i="1"/>
  <c r="J46" i="1" s="1"/>
  <c r="K44" i="1"/>
  <c r="J44" i="1" s="1"/>
  <c r="K43" i="1"/>
  <c r="J43" i="1" s="1"/>
  <c r="K42" i="1"/>
  <c r="J42" i="1" s="1"/>
  <c r="K41" i="1"/>
  <c r="J41" i="1" s="1"/>
  <c r="K39" i="1"/>
  <c r="J39" i="1" s="1"/>
  <c r="K36" i="1"/>
  <c r="J36" i="1" s="1"/>
  <c r="I37" i="1"/>
  <c r="K38" i="1"/>
  <c r="J38" i="1" s="1"/>
  <c r="K35" i="1"/>
  <c r="J35" i="1" s="1"/>
  <c r="K24" i="1"/>
  <c r="J24" i="1" s="1"/>
  <c r="K26" i="1"/>
  <c r="J26" i="1" s="1"/>
  <c r="K27" i="1"/>
  <c r="J27" i="1" s="1"/>
  <c r="K23" i="1"/>
  <c r="J23" i="1" s="1"/>
  <c r="K5" i="1"/>
  <c r="J5" i="1" s="1"/>
  <c r="K6" i="1"/>
  <c r="J6" i="1" s="1"/>
  <c r="K7" i="1"/>
  <c r="J7" i="1" s="1"/>
  <c r="K8" i="1"/>
  <c r="J8" i="1" s="1"/>
  <c r="K9" i="1"/>
  <c r="J9" i="1" s="1"/>
  <c r="K10" i="1"/>
  <c r="J10" i="1" s="1"/>
  <c r="K11" i="1"/>
  <c r="J11" i="1" s="1"/>
  <c r="K12" i="1"/>
  <c r="J12" i="1" s="1"/>
  <c r="K13" i="1"/>
  <c r="J13" i="1" s="1"/>
  <c r="K14" i="1"/>
  <c r="J14" i="1" s="1"/>
  <c r="K15" i="1"/>
  <c r="J15" i="1" s="1"/>
  <c r="K16" i="1"/>
  <c r="J16" i="1" s="1"/>
  <c r="K17" i="1"/>
  <c r="J17" i="1" s="1"/>
  <c r="K18" i="1"/>
  <c r="J18" i="1" s="1"/>
  <c r="K19" i="1"/>
  <c r="J19" i="1" s="1"/>
  <c r="K20" i="1"/>
  <c r="J20" i="1" s="1"/>
  <c r="K37" i="1" l="1"/>
  <c r="J37" i="1"/>
  <c r="K34" i="1"/>
  <c r="J34" i="1" s="1"/>
  <c r="K33" i="1"/>
  <c r="J33" i="1" s="1"/>
  <c r="K32" i="1"/>
  <c r="J32" i="1" s="1"/>
  <c r="K31" i="1"/>
  <c r="J31" i="1" s="1"/>
  <c r="K30" i="1"/>
  <c r="J30" i="1" s="1"/>
  <c r="K29" i="1"/>
  <c r="J29" i="1" s="1"/>
  <c r="K25" i="1"/>
  <c r="J25" i="1" s="1"/>
  <c r="K28" i="1"/>
  <c r="J28" i="1" s="1"/>
  <c r="K22" i="1"/>
  <c r="J22" i="1" s="1"/>
  <c r="K21" i="1"/>
  <c r="J21" i="1" s="1"/>
  <c r="I5" i="2" l="1"/>
  <c r="B3" i="2"/>
  <c r="K5" i="2" s="1"/>
  <c r="J5" i="2" s="1"/>
  <c r="F2" i="2" l="1"/>
  <c r="G2" i="2"/>
  <c r="E2" i="2"/>
  <c r="B3" i="1" l="1"/>
  <c r="G2" i="1" l="1"/>
  <c r="F2" i="1"/>
  <c r="E2" i="1"/>
</calcChain>
</file>

<file path=xl/sharedStrings.xml><?xml version="1.0" encoding="utf-8"?>
<sst xmlns="http://schemas.openxmlformats.org/spreadsheetml/2006/main" count="644" uniqueCount="415">
  <si>
    <t>Dirección</t>
  </si>
  <si>
    <t>Unidad</t>
  </si>
  <si>
    <t>Remitente</t>
  </si>
  <si>
    <t>Detalle</t>
  </si>
  <si>
    <t>Fecha</t>
  </si>
  <si>
    <t>Dias a Vencer</t>
  </si>
  <si>
    <t>Fecha de Vencimiento</t>
  </si>
  <si>
    <t>Alertas</t>
  </si>
  <si>
    <t>días</t>
  </si>
  <si>
    <t>Num de Doc</t>
  </si>
  <si>
    <t>Planificación</t>
  </si>
  <si>
    <t>TICS</t>
  </si>
  <si>
    <t>Christian</t>
  </si>
  <si>
    <t>Autorización</t>
  </si>
  <si>
    <t>Vencidos</t>
  </si>
  <si>
    <t>Vence Hoy</t>
  </si>
  <si>
    <t>Por Vencer</t>
  </si>
  <si>
    <t>DESARROLLO PRODUCTIVO</t>
  </si>
  <si>
    <t>empleado</t>
  </si>
  <si>
    <t>RUIZ FLORES HIPOLITO TOBIAS</t>
  </si>
  <si>
    <t>MOLINA GOMEZ JULIO CESAR</t>
  </si>
  <si>
    <t>CANGO AGUILAR ERWIN RENAN</t>
  </si>
  <si>
    <t>TECNICO EN TURISMO 2</t>
  </si>
  <si>
    <t>CAMINO RAMIREZ DIANA DEL CARMEN</t>
  </si>
  <si>
    <t>TECNICO AGRICOLA</t>
  </si>
  <si>
    <t>FOMENTO TURISTICO</t>
  </si>
  <si>
    <t>ORTIZ BERREZUETA LILIA ARGENTINA</t>
  </si>
  <si>
    <t>ACARO BARZALLO LUCITA MARIBEL</t>
  </si>
  <si>
    <t>TECNICO DE PROYECTOS PRODUCTIVOS 1</t>
  </si>
  <si>
    <t>REYES MENDEZ JORGE LUIS</t>
  </si>
  <si>
    <t>TECNICOS AGROPECUARIOS</t>
  </si>
  <si>
    <t>PONTON BENAVIDES WELLINTON AURELIO</t>
  </si>
  <si>
    <t>QUEZADA MOROCHO ANALICIA ALEXANDRA</t>
  </si>
  <si>
    <t>TECNICO RESPONSABLE</t>
  </si>
  <si>
    <t>TECNICO EN TURISMO 1</t>
  </si>
  <si>
    <t>ORELLANA GAONA DIEGO BERNARDO</t>
  </si>
  <si>
    <t>LOAYZA GAONA JOSE VICENTE</t>
  </si>
  <si>
    <t>MONTAÑO MACAS LEILA MARIA</t>
  </si>
  <si>
    <t>FACILITADOR/FORMADOR  HABILIDADES SOCIALES Y DIGITALES</t>
  </si>
  <si>
    <t>TECNICO DE PROYECTO PRODUCTIVO</t>
  </si>
  <si>
    <t>OJEDA CRESPO LESTER GEOVANNY</t>
  </si>
  <si>
    <t>DOMINGUEZ MOREIRA CRISTIAN GUILLERMO</t>
  </si>
  <si>
    <t>ANALISTA DE FOMENTO PRODUCTIVO 1</t>
  </si>
  <si>
    <t>FISCALIZACION</t>
  </si>
  <si>
    <t>MADERO MADERO MEDARDO SERGIO</t>
  </si>
  <si>
    <t>ANALISTA DE FISCALIZACION 2</t>
  </si>
  <si>
    <t>JAIME SAN LUCAS ELEANA ALEXANDRA</t>
  </si>
  <si>
    <t>BOHORQUEZ RIVERA MARIO JEOVANNY</t>
  </si>
  <si>
    <t>SOLORZANO FLORES WILLIAM EDUARDO</t>
  </si>
  <si>
    <t>CAIMINAGUA MACAS GABRIELA LISSET</t>
  </si>
  <si>
    <t>GESTION AMBIENTAL</t>
  </si>
  <si>
    <t>AUXILIAR ADMINSTRATIVO</t>
  </si>
  <si>
    <t>FEIJOO GOMEZ JONATHAN GREGORY</t>
  </si>
  <si>
    <t>MEDINA COELLO JHON ANDRE</t>
  </si>
  <si>
    <t>TECNICO DE MANEJO Y CONSERVACION AMBIENTAL</t>
  </si>
  <si>
    <t>RAMIREZ GOMEZ OSMAN HERNAN</t>
  </si>
  <si>
    <t>ANALISTA DE RIESGO 2</t>
  </si>
  <si>
    <t>VELEPUCHA BENAVIDES ALEX ELVIS</t>
  </si>
  <si>
    <t>ASISTENTE TECNICO</t>
  </si>
  <si>
    <t>ASANZA ASANZA JAIRO ALEXANDER</t>
  </si>
  <si>
    <t>TECNICO DE PROYECTO</t>
  </si>
  <si>
    <t>ANALISTA DE MANEJO Y CONSERVACION AMBIENTAL 1</t>
  </si>
  <si>
    <t>MENA JAEN JOSE LUIS</t>
  </si>
  <si>
    <t>PINTA SOLORZANO DIEGO HUGOLINO</t>
  </si>
  <si>
    <t>ANALISTA DE COMISARIA AMBIENTAL 1</t>
  </si>
  <si>
    <t>ROMERO MATAMOROS JESSICA KATHERINE</t>
  </si>
  <si>
    <t>ELIZALDE QUEVEDO NATHALY ESTEFANIA</t>
  </si>
  <si>
    <t>PLANIFICACION PROCESOS Y TECNOLOGIA</t>
  </si>
  <si>
    <t>LEON CALLE DIETER SEBASTIAN</t>
  </si>
  <si>
    <t>ANALISTA DE PLANIFICACION INSTITUCIONAL 2</t>
  </si>
  <si>
    <t>ATENCION PRIORITARIA Y DESARROLLO SOCIAL</t>
  </si>
  <si>
    <t>BUSTAMANTE SAN ANDRES GLORIA SHANTAL</t>
  </si>
  <si>
    <t>INSTRUCTORA DE TEATRO</t>
  </si>
  <si>
    <t>DAVILA VASQUEZ CORINA DEL CISNE</t>
  </si>
  <si>
    <t>TECNICO FINANCIERO</t>
  </si>
  <si>
    <t>SHUGULI AUCAPEÑA BOLIVIA DEL ROCIO</t>
  </si>
  <si>
    <t>ASISTENTE DE PLANIFICACION</t>
  </si>
  <si>
    <t>CARRILLO VELEZ VICTORIA CAROLINA</t>
  </si>
  <si>
    <t>TECNICO DE APOYO</t>
  </si>
  <si>
    <t>ZAMBRANO ZAMBRANO EDISON EVARISTO</t>
  </si>
  <si>
    <t>JEFE DE ATENCION PRIORITARIA Y ACCION SOCIAL</t>
  </si>
  <si>
    <t>RIVERA IBAÑEZ RODRIGO RIVERA</t>
  </si>
  <si>
    <t>COORDINADOR RESPONSABLE DE PROYECTO</t>
  </si>
  <si>
    <t>AGUILAR TIGRE BYRON DAVID</t>
  </si>
  <si>
    <t>ROA GARCIA WILLIAM ANDRES</t>
  </si>
  <si>
    <t>GARCES QUILAMBAQUI MARCELO JAVIER</t>
  </si>
  <si>
    <t>GUEVARA LOAYZA BRYAN PAOLO</t>
  </si>
  <si>
    <t>LAPO CORDOVA YERALDIN LILIBETH</t>
  </si>
  <si>
    <t>ABRIL SOLANO DALTON HARRISON</t>
  </si>
  <si>
    <t>TECNICO ACUACULTOR</t>
  </si>
  <si>
    <t>SANCHEZ RIOFRIO NAHIN ERMEL</t>
  </si>
  <si>
    <t>TECNICO EN MARKETING</t>
  </si>
  <si>
    <t>PINEDA PACHECO RODRIGO ALEXANDER</t>
  </si>
  <si>
    <t>ANALISTA DE RIESGO 1</t>
  </si>
  <si>
    <t>COMISARIO AMBIENTAL</t>
  </si>
  <si>
    <t>VITERI ORELLANA ILIANA NATIVIDAD</t>
  </si>
  <si>
    <t>GUANGA GOMEZ DANILO ROBERTO</t>
  </si>
  <si>
    <t>AUXILIAR DE SONIDO</t>
  </si>
  <si>
    <t>SALVATIERRA VAQUE MARCO DANIEL</t>
  </si>
  <si>
    <t>INSTRUCTOR DE DANZA</t>
  </si>
  <si>
    <t>INFANTE MOSCOSO ALICIA GEORGINA</t>
  </si>
  <si>
    <t>ESPINOZA CABRERA FRANCISCO ANTONIO</t>
  </si>
  <si>
    <t>INSTRUCTOR DE ARTES PLASTICAS</t>
  </si>
  <si>
    <t>SHIGUE BELDUMA ALEXANDRA FRANCISCA</t>
  </si>
  <si>
    <t>ANDRADE YANZA JORGE LUIS</t>
  </si>
  <si>
    <t>RIOFRIO VALAREZO ANDREA ELIZABETH</t>
  </si>
  <si>
    <t>ANALISTA DE CALIDAD AMBIENTAL 1</t>
  </si>
  <si>
    <t>LOJA ZAVALA SILVIA ELIZABETH</t>
  </si>
  <si>
    <t>LEON WONG JORGE KUND SAN</t>
  </si>
  <si>
    <t>JEFE DE PROYECTO</t>
  </si>
  <si>
    <t>PORRAS ARAUJO LEONARDO IVAN</t>
  </si>
  <si>
    <t>VEGA ESPINOZA MARCO ARTURO</t>
  </si>
  <si>
    <t>AGURTO ABRIL VICTOR OSWALDO</t>
  </si>
  <si>
    <t>OBRAS PUBLICAS</t>
  </si>
  <si>
    <t>CALLE CHILES ANTHONY RICARDO</t>
  </si>
  <si>
    <t>ANALISTA DE OBRAS PUBLICAS Y VIALIDAD 2</t>
  </si>
  <si>
    <t>Columna1</t>
  </si>
  <si>
    <t>04-2022-001</t>
  </si>
  <si>
    <t>n° de registro</t>
  </si>
  <si>
    <t>MOROCHO GUAICHA MARLO SEGUNDO</t>
  </si>
  <si>
    <t>AYUDANTE DE MAQUINARIA AGRICOLA</t>
  </si>
  <si>
    <t>REGISTRADO</t>
  </si>
  <si>
    <t>04-2022-002</t>
  </si>
  <si>
    <t>BUSTAMANTE TORRES HUGO VICENTE</t>
  </si>
  <si>
    <t>05-2022-001</t>
  </si>
  <si>
    <t>MURILLO PESANTES MANUEL DE JESUS</t>
  </si>
  <si>
    <t>ANALISTA DE PARTICIPACION Y DESARROLLO SOCIAL 1</t>
  </si>
  <si>
    <t>05-2022-002</t>
  </si>
  <si>
    <t>SANCHEZ SANCHEZ DIANA GABRIELA</t>
  </si>
  <si>
    <t>PREFECTURA</t>
  </si>
  <si>
    <t>ASISTENTE DE DESPACHO</t>
  </si>
  <si>
    <t>01-2022-001</t>
  </si>
  <si>
    <t>01-2022-002</t>
  </si>
  <si>
    <t>01-2022-003</t>
  </si>
  <si>
    <t>01-2022-004</t>
  </si>
  <si>
    <t>01-2022-005</t>
  </si>
  <si>
    <t>01-2022-006</t>
  </si>
  <si>
    <t>01-2022-007</t>
  </si>
  <si>
    <t>01-2022-008</t>
  </si>
  <si>
    <t>01-2022-009</t>
  </si>
  <si>
    <t>01-2022-010</t>
  </si>
  <si>
    <t>01-2022-011</t>
  </si>
  <si>
    <t>ojo fecha de ingreso 05</t>
  </si>
  <si>
    <t>01-2022-012</t>
  </si>
  <si>
    <t>01-2022-013</t>
  </si>
  <si>
    <t>01-2022-014</t>
  </si>
  <si>
    <t>01-2022-015</t>
  </si>
  <si>
    <t>01-2022-016</t>
  </si>
  <si>
    <t>01-2022-017</t>
  </si>
  <si>
    <t>01-2022-018</t>
  </si>
  <si>
    <t>01-2022-019</t>
  </si>
  <si>
    <t>01-2022-020</t>
  </si>
  <si>
    <t>01-2022-021</t>
  </si>
  <si>
    <t>01-2022-022</t>
  </si>
  <si>
    <t>01-2022-023</t>
  </si>
  <si>
    <t>01-2022-024</t>
  </si>
  <si>
    <t>01-2022-025</t>
  </si>
  <si>
    <t>01-2022-026</t>
  </si>
  <si>
    <t>01-2022-027</t>
  </si>
  <si>
    <t>01-2022-028</t>
  </si>
  <si>
    <t>01-2022-029</t>
  </si>
  <si>
    <t>01-2022-030</t>
  </si>
  <si>
    <t>LEON MOROCHO CARLA LEON</t>
  </si>
  <si>
    <t>ANALISTA DE ATENCION PRIORITARIA Y ACCION SOCIAL2</t>
  </si>
  <si>
    <t>05-2022-003</t>
  </si>
  <si>
    <t>01-2022-031</t>
  </si>
  <si>
    <t>01-2022-032</t>
  </si>
  <si>
    <t>01-2022-033</t>
  </si>
  <si>
    <t>01-2022-034</t>
  </si>
  <si>
    <t>01-2022-035</t>
  </si>
  <si>
    <t>01-2022-036</t>
  </si>
  <si>
    <t>01-2022-037</t>
  </si>
  <si>
    <t>RUIZ LOZANO KLEBER JORLYN</t>
  </si>
  <si>
    <t>05-2022-004</t>
  </si>
  <si>
    <t>01-2022-038</t>
  </si>
  <si>
    <t>RECURSOS HIDRICOS</t>
  </si>
  <si>
    <t>MALDONADO SANCHEZ XAVIER EMILIANO</t>
  </si>
  <si>
    <t>JEFE DE RECURSOS HIDRICOS</t>
  </si>
  <si>
    <t>RAMIREZ OYOLA MARCELA BRIGITTE</t>
  </si>
  <si>
    <t>PROMOTOR</t>
  </si>
  <si>
    <t>05-2022-005</t>
  </si>
  <si>
    <t>01-2022-039</t>
  </si>
  <si>
    <t>01-2022-040</t>
  </si>
  <si>
    <t>01-2022-041</t>
  </si>
  <si>
    <t>01-2022-042</t>
  </si>
  <si>
    <t>01-2022-043</t>
  </si>
  <si>
    <t>01-2022-044</t>
  </si>
  <si>
    <t>01-2022-045</t>
  </si>
  <si>
    <t>01-2022-046</t>
  </si>
  <si>
    <t>01-2022-047</t>
  </si>
  <si>
    <t>01-2022-048</t>
  </si>
  <si>
    <t>01-2022-049</t>
  </si>
  <si>
    <t>AGUIRRE VELASCO JOHANNA CAROLINA</t>
  </si>
  <si>
    <t>01-2022-050</t>
  </si>
  <si>
    <t>AGUILAR GALVEZ ANGEL MARCELO</t>
  </si>
  <si>
    <t>01-2022-051</t>
  </si>
  <si>
    <t>CARRION ROMERO EVELYN KATHERINE</t>
  </si>
  <si>
    <t>SECRETARIA EJECUTIVA</t>
  </si>
  <si>
    <t>01-2022-052</t>
  </si>
  <si>
    <t>OCHOA ZAVALA JOSELYN JOAMELY</t>
  </si>
  <si>
    <t>ASISTENTE ADMINISTRATIVO</t>
  </si>
  <si>
    <t>01-2022-053</t>
  </si>
  <si>
    <t>01-2022-054</t>
  </si>
  <si>
    <t>01-2022-055</t>
  </si>
  <si>
    <t>DAUL URDIALES CARLA MARIA</t>
  </si>
  <si>
    <t>ANALISTA DE PROCESOS, SERVICIOS Y CALIDAD 2</t>
  </si>
  <si>
    <t>MATAMOROS ARMIJOS SAMANTHA CRISTINA</t>
  </si>
  <si>
    <t>SALVATIERRA PEÑARANDA NATHALIA PAOLA</t>
  </si>
  <si>
    <t>PSICOLOGA CLINICA</t>
  </si>
  <si>
    <t>01-2022-056</t>
  </si>
  <si>
    <t>ALBUJA RUALES CRISTHIAN PAUL</t>
  </si>
  <si>
    <t>06-2022-001</t>
  </si>
  <si>
    <t>01-2022-057</t>
  </si>
  <si>
    <t>01-2022-058</t>
  </si>
  <si>
    <t>CORREA CUEVA CARLA JAQUELINE</t>
  </si>
  <si>
    <t>01-2022-059</t>
  </si>
  <si>
    <t>EDUCADORA</t>
  </si>
  <si>
    <t>JARAMILLO TENEZACA TALIA ANGELICA</t>
  </si>
  <si>
    <t>01-2022-060</t>
  </si>
  <si>
    <t>MORAN ALCIVAR VENUS INES</t>
  </si>
  <si>
    <t>01-2022-061</t>
  </si>
  <si>
    <t>MONTES SARES MARIUXI ELIZABETH</t>
  </si>
  <si>
    <t>01-2022-062</t>
  </si>
  <si>
    <t>MUÑOZ CABANILLA DAVID FERNANDO</t>
  </si>
  <si>
    <t>TECNICO DE AGUAS SUBTERRANEAS</t>
  </si>
  <si>
    <t>01-2022-087</t>
  </si>
  <si>
    <t>OCHOA CELY KAREN PAULETTE</t>
  </si>
  <si>
    <t>01-2022-063</t>
  </si>
  <si>
    <t>MORALES NARVAEZ LEIDA MELISSA</t>
  </si>
  <si>
    <t>VALAREZO ORDOÑEZ SILVIA ESMERALDA</t>
  </si>
  <si>
    <t>01-2022-064</t>
  </si>
  <si>
    <t>01-2022-065</t>
  </si>
  <si>
    <t>MAZA LEON ADRIANA ANABEL</t>
  </si>
  <si>
    <t>01-2022-066</t>
  </si>
  <si>
    <t>06-2022-002</t>
  </si>
  <si>
    <t>ADMINISTRATIVO</t>
  </si>
  <si>
    <t>ROMERO CORREA LUIS ALFONSO</t>
  </si>
  <si>
    <t>GUARDALMACEN</t>
  </si>
  <si>
    <t>06-2022-003</t>
  </si>
  <si>
    <t>TITUANA MACAS NANCY TATIANA</t>
  </si>
  <si>
    <t>TECNICO DE ARCHIVO</t>
  </si>
  <si>
    <t>01-2022-067</t>
  </si>
  <si>
    <t>CHEVERRIA LOPEZ LETICIA VIVIANA</t>
  </si>
  <si>
    <t>07-2022-001</t>
  </si>
  <si>
    <t>ROBLES MORA KARLA ELIZABETH</t>
  </si>
  <si>
    <t>01-2022-068</t>
  </si>
  <si>
    <t>BACUILIMA NAVAS BYRON XAVIER</t>
  </si>
  <si>
    <t>01-2022-069</t>
  </si>
  <si>
    <t>06-2022-004</t>
  </si>
  <si>
    <t>PIEDRA LOAIZA SUSAN NATHALY</t>
  </si>
  <si>
    <t>ADMINISTRADOR DEL CENTRO MEDICO</t>
  </si>
  <si>
    <t>SOLORZANO QUITO LUIS XAVIER</t>
  </si>
  <si>
    <t>01-2022-070</t>
  </si>
  <si>
    <t>01-2022-071</t>
  </si>
  <si>
    <t>MONTALVAN MOOLLONES CARLOS FRANKLIN</t>
  </si>
  <si>
    <t>YANZA MURILLO MARIA FERNANDA</t>
  </si>
  <si>
    <t>01-2022-072</t>
  </si>
  <si>
    <t>01-2022-073</t>
  </si>
  <si>
    <t>YANZA MURILLO KARINA LISETH</t>
  </si>
  <si>
    <t>01-2022-074</t>
  </si>
  <si>
    <t>MOROCHO ZHISPON KEVIN PAUL</t>
  </si>
  <si>
    <t>INSTRUCTOR DE TECLADO E INTERPRETE</t>
  </si>
  <si>
    <t>01-2022-075</t>
  </si>
  <si>
    <t>CABRERA CAJAS JESSENIA LIZZETH</t>
  </si>
  <si>
    <t>01-2022-076</t>
  </si>
  <si>
    <t>JARA RIOS IGNACIO MODESTO</t>
  </si>
  <si>
    <t>INSTRUCTOR DE CANTO E INTERPRETE</t>
  </si>
  <si>
    <t>VACA CALERO EDGAR FERNANDO</t>
  </si>
  <si>
    <t>01-2022-077</t>
  </si>
  <si>
    <t>01-2022-078</t>
  </si>
  <si>
    <t>GONZALEZ GUTIERREZ ANDREA ALEJANDRA</t>
  </si>
  <si>
    <t>BAGUI RIOFRIO ROLANDO ALBERTO</t>
  </si>
  <si>
    <t>INSTRUCTOR DE FUTBOL</t>
  </si>
  <si>
    <t>01-2022-079</t>
  </si>
  <si>
    <t>01-2022-080</t>
  </si>
  <si>
    <t>01-2022-081</t>
  </si>
  <si>
    <t>01-2022-082</t>
  </si>
  <si>
    <t>01-2022-083</t>
  </si>
  <si>
    <t>01-2022-084</t>
  </si>
  <si>
    <t>01-2022-085</t>
  </si>
  <si>
    <t>01-2022-086</t>
  </si>
  <si>
    <t>MACAS CAIMINAGUA IVONE BRIGETTE</t>
  </si>
  <si>
    <t>AYORA DUCHITANGA CARMEN VIRGINIA</t>
  </si>
  <si>
    <t>MALDONADO CORDERO JAIME ANDRES</t>
  </si>
  <si>
    <t>PUERTAS PEREZ MAX EDUARDO</t>
  </si>
  <si>
    <t>LEON ARIAS CECILIA MARLENE</t>
  </si>
  <si>
    <t>VALVERDE ALVAREZ LUIS ALBERTO</t>
  </si>
  <si>
    <t>PUMA PORRAS DAYSE FLORINA</t>
  </si>
  <si>
    <t>01-2022-088</t>
  </si>
  <si>
    <t>SUPERVISOR</t>
  </si>
  <si>
    <t>01-2022-089</t>
  </si>
  <si>
    <t>ULLOA CAICEDO DANIEL ERNESTO</t>
  </si>
  <si>
    <t>01-2022-090</t>
  </si>
  <si>
    <t>MENDOZA LOOR CRISTHIAN JOSE</t>
  </si>
  <si>
    <t>01-2022-091</t>
  </si>
  <si>
    <t>AGUILAR RIVAS HAYDEE MARJORIE</t>
  </si>
  <si>
    <t>01-2022-092</t>
  </si>
  <si>
    <t>VERA TORRES DENISSE GUISELLA</t>
  </si>
  <si>
    <t>01-2022-093</t>
  </si>
  <si>
    <t>CRESPO UCHUARI ANA MARIA</t>
  </si>
  <si>
    <t>01-2022-094</t>
  </si>
  <si>
    <t>01-2022-095</t>
  </si>
  <si>
    <t>ROSALES PIZARRO JOHANA MERCEDES</t>
  </si>
  <si>
    <t>CHALEN MALO JUAN FRANCISCO</t>
  </si>
  <si>
    <t>INSTRUCTOR PEDAGOGICO</t>
  </si>
  <si>
    <t>TERAPISTA DE LENGUAJE</t>
  </si>
  <si>
    <t>01-2022-096</t>
  </si>
  <si>
    <t>CORTEZ ESPINOZA FERNANDO MAURICIO</t>
  </si>
  <si>
    <t>CORREA DURAN CARLOS ABEL</t>
  </si>
  <si>
    <t>01-2022-097</t>
  </si>
  <si>
    <t>MALDONADO SANCHEZ BRENDA DEL ROCIO</t>
  </si>
  <si>
    <t>01-2022-098</t>
  </si>
  <si>
    <t>INSTRUCTOR OCUPACIONAL</t>
  </si>
  <si>
    <t>01-2022-099</t>
  </si>
  <si>
    <t>01-2022-100</t>
  </si>
  <si>
    <t>01-2022-101</t>
  </si>
  <si>
    <t>01-2022-102</t>
  </si>
  <si>
    <t>01-2022-103</t>
  </si>
  <si>
    <t>01-2022-104</t>
  </si>
  <si>
    <t>01-2022-105</t>
  </si>
  <si>
    <t>01-2022-106</t>
  </si>
  <si>
    <t>01-2022-107</t>
  </si>
  <si>
    <t>TINITANA ESTUPIÑAN LEONEL MICHAEL</t>
  </si>
  <si>
    <t>ARROYO OTIZ EULISES SEGUNDO</t>
  </si>
  <si>
    <t>INSTRUCTOR DE BAILOTERAPIA</t>
  </si>
  <si>
    <t>GUAMAN CORDOVA MARIANA DE JESUS</t>
  </si>
  <si>
    <t>MENA MENDOZA DIEGO ARMANDO</t>
  </si>
  <si>
    <t>OLMEDO LOJA MARTHA ROSA</t>
  </si>
  <si>
    <t>VITE DEL RIO CARLOS FREDY</t>
  </si>
  <si>
    <t>CASTRO MORA EDWIN XAVIER</t>
  </si>
  <si>
    <t>SARMIENTO CORDOVA LILIAM RAQUEL</t>
  </si>
  <si>
    <t>MOSCOSO KANGO ANA MABEL</t>
  </si>
  <si>
    <t>01-2022-108</t>
  </si>
  <si>
    <t>10-2022-001</t>
  </si>
  <si>
    <t>COMPRAS PUBLICAS</t>
  </si>
  <si>
    <t>ORELLANA RAMOS JOFFRE ANDRES</t>
  </si>
  <si>
    <t>JEFE DE COMPRAS PUBLICAS</t>
  </si>
  <si>
    <t>07-2022-002</t>
  </si>
  <si>
    <t>BELTRAN VINUEZA MIGUEL EDUARDO</t>
  </si>
  <si>
    <t>AYUDANTE DE EQUIPO</t>
  </si>
  <si>
    <t>01-2022-109</t>
  </si>
  <si>
    <t>CASTILLO PACHECO ROGER EDUARDOAYUDANTE DE EQUIPO</t>
  </si>
  <si>
    <t>09-2022-001</t>
  </si>
  <si>
    <t>ROMERO LEON ENMA ELIZABETH</t>
  </si>
  <si>
    <t>FACILITADORA</t>
  </si>
  <si>
    <t>FLORES MOSQUERA JULEISSI JANINA</t>
  </si>
  <si>
    <t>LUNA GUAYGUA YAHAIRA ALEXANDRA</t>
  </si>
  <si>
    <t>SARANGO MONCAYO DANIEL ALEJANDRO</t>
  </si>
  <si>
    <t>CUENCA BENAVIDES DANNY VICTORIANO</t>
  </si>
  <si>
    <t>ROMAN ZERDA VERONICA NORALMA</t>
  </si>
  <si>
    <t>GRUNAUER ZAMBRANO JOSELYN NICOLE</t>
  </si>
  <si>
    <t>MATAMOROS ARMIJOS SAMANTA CRISTINA</t>
  </si>
  <si>
    <t>CAMPOVERDE PROAÑO JIMMY ALEXANDER</t>
  </si>
  <si>
    <t>NIETO MARTINEZ JORGE ENRIQUE</t>
  </si>
  <si>
    <t>OJEDA TORRES JULIO EDUARDO</t>
  </si>
  <si>
    <t>MEDINA LIMA ANDRES ENRIQUE</t>
  </si>
  <si>
    <t>BENITEZ CAMPOS LEANDRO JAVIER</t>
  </si>
  <si>
    <t>GUEVARA TOMASELLI MARIO PAOLO</t>
  </si>
  <si>
    <t>ROMERO RAMIREZ MIKE LEONARDO</t>
  </si>
  <si>
    <t>CALLE BALCAZAR JONNY RUBEN</t>
  </si>
  <si>
    <t>CHAMBA SALINAS EDGAR FRANCISCO</t>
  </si>
  <si>
    <t>SANCHEZ SALINAS CAROLINA SOLEDAD</t>
  </si>
  <si>
    <t>BUELE CHICA MARIA DEL CISNE</t>
  </si>
  <si>
    <t>NANCY TATIANA TITUANA MACAS</t>
  </si>
  <si>
    <t>GUERRERO NETO LUCIA CATALINA</t>
  </si>
  <si>
    <t>PINTO MONTENEGRO BYRON RENE</t>
  </si>
  <si>
    <t>CASTRO MONTALVAN OSCAR SANTIAGO</t>
  </si>
  <si>
    <t>ROSARIO RIOFRIO ANDREA ESTEFANIA</t>
  </si>
  <si>
    <t>CABEZAS AGUILAR EVELYN MARTHA</t>
  </si>
  <si>
    <t>RODRIGUEZ MADERO EDUARDO JOSE</t>
  </si>
  <si>
    <t>CARRILLO VELEZ JULIO MARIO</t>
  </si>
  <si>
    <t>ORTEGA CARRILLO JAIME EULOGIO</t>
  </si>
  <si>
    <t>QUEZADA CRUZ JUAN CARLOS</t>
  </si>
  <si>
    <t>REYES TACURI JOSE MISAEL</t>
  </si>
  <si>
    <t>SANCHEZ CELI ERMEL ANTOLIANO</t>
  </si>
  <si>
    <t>CARVAJAL TOALA JONATAN DANIEL</t>
  </si>
  <si>
    <t>COROZO MEJIA CARLOS ALFREDO</t>
  </si>
  <si>
    <t>01-2022-110</t>
  </si>
  <si>
    <t>PARRA RENTERIA SAUL ANTONIO</t>
  </si>
  <si>
    <t>TECNICO DE TURISMO 1</t>
  </si>
  <si>
    <t>09-2022-002</t>
  </si>
  <si>
    <t>SALINAS GUAYCOCHEA GENESIS CRISTINA</t>
  </si>
  <si>
    <t>10-2022-002</t>
  </si>
  <si>
    <t>AUXILIAR DE SERVICIOS</t>
  </si>
  <si>
    <t>asesor de prefectura 3</t>
  </si>
  <si>
    <t xml:space="preserve">instructor de bailoterapia </t>
  </si>
  <si>
    <t xml:space="preserve">analista de atencion prioritaria 2 </t>
  </si>
  <si>
    <t>tecnicos asistentes</t>
  </si>
  <si>
    <t>pascuala cuero</t>
  </si>
  <si>
    <t>cambiar fecha con inicio de 1 enero</t>
  </si>
  <si>
    <t>instructores pedagogicos</t>
  </si>
  <si>
    <t>soy equida e igualdad</t>
  </si>
  <si>
    <t>asistente de comunicación digital y audiovisual</t>
  </si>
  <si>
    <t xml:space="preserve">guardalmacen </t>
  </si>
  <si>
    <t>luis romero correa</t>
  </si>
  <si>
    <t xml:space="preserve">promotor </t>
  </si>
  <si>
    <t>implementacion alimentaria</t>
  </si>
  <si>
    <t>analista de comunicación marca e imagen</t>
  </si>
  <si>
    <t>tecnico agricola</t>
  </si>
  <si>
    <t>analista de asesoria y patrocinio 2</t>
  </si>
  <si>
    <t>MORA CORONEL ANDREA JACQUELINE</t>
  </si>
  <si>
    <t>SOLORZANO MONSERRATE JORGE OSWALDO</t>
  </si>
  <si>
    <t>01-2022-111</t>
  </si>
  <si>
    <t>TALENTO HUMANO</t>
  </si>
  <si>
    <t>VEGA LUZURIAGA ROMEL ANDRES</t>
  </si>
  <si>
    <t>JEFE DE SEGURIDAD Y SALUD OCUPACIONAL</t>
  </si>
  <si>
    <t>01-2022-112</t>
  </si>
  <si>
    <t>CHAVEZ KORINA LUCRECIA</t>
  </si>
  <si>
    <t>ANALISTA DE GESTION DE TALENTO HUMANO 1</t>
  </si>
  <si>
    <t>01-2022-113</t>
  </si>
  <si>
    <t>REASCO RODRIGUEZ RASAURA CENTENARIA</t>
  </si>
  <si>
    <t>01-2022-114</t>
  </si>
  <si>
    <t>ZAMBRANO ONTANEDA ANDREA ELIZABETH</t>
  </si>
  <si>
    <t>ANALISTA DE GESTION DE TALENTO HUMANO 2</t>
  </si>
  <si>
    <t>01-2022-115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</si>
</sst>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/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0" fillId="0" borderId="0" xfId="0" applyNumberFormat="1"/>
    <xf numFmtId="164" fontId="0" fillId="0" borderId="0" xfId="0" applyNumberFormat="1"/>
    <xf numFmtId="0" fontId="0" fillId="3" borderId="0" xfId="0" applyFill="1"/>
    <xf numFmtId="164" fontId="0" fillId="0" borderId="1" xfId="0" applyNumberFormat="1" applyFont="1" applyBorder="1"/>
    <xf numFmtId="0" fontId="0" fillId="0" borderId="1" xfId="0" applyNumberFormat="1" applyFont="1" applyBorder="1"/>
    <xf numFmtId="0" fontId="0" fillId="4" borderId="0" xfId="0" applyFill="1"/>
    <xf numFmtId="14" fontId="0" fillId="4" borderId="0" xfId="0" applyNumberFormat="1" applyFill="1"/>
    <xf numFmtId="164" fontId="0" fillId="4" borderId="0" xfId="0" applyNumberFormat="1" applyFill="1"/>
    <xf numFmtId="0" fontId="0" fillId="4" borderId="0" xfId="0" applyNumberFormat="1" applyFill="1"/>
    <xf numFmtId="0" fontId="0" fillId="5" borderId="0" xfId="0" applyFill="1"/>
    <xf numFmtId="17" fontId="0" fillId="0" borderId="0" xfId="0" applyNumberFormat="1"/>
  </cellXfs>
  <cellStyles count="1">
    <cellStyle name="Normal" xfId="0" builtinId="0"/>
  </cellStyles>
  <dxfs count="8">
    <dxf>
      <numFmt numFmtId="0" formatCode="General"/>
    </dxf>
    <dxf>
      <numFmt numFmtId="0" formatCode="General"/>
    </dxf>
    <dxf>
      <numFmt numFmtId="164" formatCode="d/m/yyyy"/>
    </dxf>
    <dxf>
      <numFmt numFmtId="164" formatCode="d/m/yyyy"/>
    </dxf>
    <dxf>
      <numFmt numFmtId="0" formatCode="General"/>
    </dxf>
    <dxf>
      <numFmt numFmtId="0" formatCode="General"/>
    </dxf>
    <dxf>
      <numFmt numFmtId="164" formatCode="d/m/yyyy"/>
    </dxf>
    <dxf>
      <numFmt numFmtId="164" formatCode="d/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abla1" displayName="Tabla1" ref="B4:L153" totalsRowShown="0">
  <autoFilter ref="B4:L153"/>
  <sortState ref="B5:K8">
    <sortCondition ref="K4:K8"/>
  </sortState>
  <tableColumns count="11">
    <tableColumn id="1" name="Num de Doc"/>
    <tableColumn id="2" name="Dirección"/>
    <tableColumn id="3" name="Unidad"/>
    <tableColumn id="4" name="empleado"/>
    <tableColumn id="5" name="Detalle"/>
    <tableColumn id="6" name="Fecha" dataDxfId="7"/>
    <tableColumn id="7" name="Dias a Vencer"/>
    <tableColumn id="8" name="Fecha de Vencimiento" dataDxfId="6">
      <calculatedColumnFormula>IF(Tabla1[[#This Row],[Fecha]]="","",G5+H5)</calculatedColumnFormula>
    </tableColumn>
    <tableColumn id="9" name="Alertas" dataDxfId="5">
      <calculatedColumnFormula>IF(Tabla1[[#This Row],[Fecha de Vencimiento]]="","",IF(K5&lt;0,"Vencido hace "&amp;K5*-1&amp;" días",IF(K5=0,"Vence hoy",K5&amp;" dias por Vencer")))</calculatedColumnFormula>
    </tableColumn>
    <tableColumn id="10" name="días" dataDxfId="4">
      <calculatedColumnFormula>IF(Tabla1[[#This Row],[Fecha de Vencimiento]]="","",I5-G5)</calculatedColumnFormula>
    </tableColumn>
    <tableColumn id="11" name="Columna1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2" name="Tabla13" displayName="Tabla13" ref="B4:K6" totalsRowShown="0">
  <autoFilter ref="B4:K6"/>
  <sortState ref="B5:K8">
    <sortCondition ref="K4:K8"/>
  </sortState>
  <tableColumns count="10">
    <tableColumn id="1" name="Num de Doc"/>
    <tableColumn id="2" name="Dirección"/>
    <tableColumn id="3" name="Unidad"/>
    <tableColumn id="4" name="Remitente"/>
    <tableColumn id="5" name="Detalle"/>
    <tableColumn id="6" name="Fecha" dataDxfId="3"/>
    <tableColumn id="7" name="Dias a Vencer"/>
    <tableColumn id="8" name="Fecha de Vencimiento" dataDxfId="2">
      <calculatedColumnFormula>IF(Tabla13[[#This Row],[Fecha]]="","",G5+H5)</calculatedColumnFormula>
    </tableColumn>
    <tableColumn id="9" name="Alertas" dataDxfId="1">
      <calculatedColumnFormula>IF(Tabla13[[#This Row],[Fecha de Vencimiento]]="","",IF(K5&lt;0,"Vencido hace "&amp;K5*-1&amp;" días",IF(K5=0,"Vence hoy",K5&amp;" dias por Vencer")))</calculatedColumnFormula>
    </tableColumn>
    <tableColumn id="10" name="días" dataDxfId="0">
      <calculatedColumnFormula>IF(Tabla13[[#This Row],[Fecha de Vencimiento]]="","",I5-$B$3)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N153"/>
  <sheetViews>
    <sheetView tabSelected="1" topLeftCell="A76" workbookViewId="0">
      <selection activeCell="A91" sqref="A91"/>
    </sheetView>
  </sheetViews>
  <sheetFormatPr baseColWidth="10" defaultRowHeight="15" x14ac:dyDescent="0.25"/>
  <cols>
    <col min="1" max="1" width="15.7109375" customWidth="1"/>
    <col min="2" max="2" width="13.85546875" customWidth="1"/>
    <col min="3" max="3" width="30.42578125" customWidth="1"/>
    <col min="5" max="5" width="32.42578125" customWidth="1"/>
    <col min="6" max="6" width="22.42578125" bestFit="1" customWidth="1"/>
    <col min="7" max="7" width="10.7109375" bestFit="1" customWidth="1"/>
    <col min="8" max="8" width="12.5703125" customWidth="1"/>
    <col min="9" max="9" width="22.85546875" customWidth="1"/>
    <col min="10" max="10" width="28.140625" customWidth="1"/>
    <col min="11" max="11" width="15.85546875" customWidth="1"/>
  </cols>
  <sheetData>
    <row r="1" spans="1:14" x14ac:dyDescent="0.25">
      <c r="E1" t="s">
        <v>14</v>
      </c>
      <c r="F1" t="s">
        <v>15</v>
      </c>
      <c r="G1" t="s">
        <v>16</v>
      </c>
    </row>
    <row r="2" spans="1:14" x14ac:dyDescent="0.25">
      <c r="E2">
        <f>COUNTIF(Tabla1[días],"&lt;0")</f>
        <v>0</v>
      </c>
      <c r="F2">
        <f>COUNTIF(Tabla1[días],"=0")</f>
        <v>0</v>
      </c>
      <c r="G2">
        <f>COUNTIF(Tabla1[días],"&gt;0")</f>
        <v>139</v>
      </c>
    </row>
    <row r="3" spans="1:14" x14ac:dyDescent="0.25">
      <c r="B3" s="2">
        <f ca="1">TODAY()</f>
        <v>44893</v>
      </c>
    </row>
    <row r="4" spans="1:14" x14ac:dyDescent="0.25">
      <c r="A4" t="s">
        <v>118</v>
      </c>
      <c r="B4" t="s">
        <v>9</v>
      </c>
      <c r="C4" t="s">
        <v>0</v>
      </c>
      <c r="D4" t="s">
        <v>1</v>
      </c>
      <c r="E4" t="s">
        <v>18</v>
      </c>
      <c r="F4" t="s">
        <v>3</v>
      </c>
      <c r="G4" t="s">
        <v>4</v>
      </c>
      <c r="H4" t="s">
        <v>5</v>
      </c>
      <c r="I4" t="s">
        <v>6</v>
      </c>
      <c r="J4" t="s">
        <v>7</v>
      </c>
      <c r="K4" t="s">
        <v>8</v>
      </c>
      <c r="L4" t="s">
        <v>116</v>
      </c>
    </row>
    <row r="5" spans="1:14" x14ac:dyDescent="0.25">
      <c r="A5" t="s">
        <v>212</v>
      </c>
      <c r="B5">
        <v>1</v>
      </c>
      <c r="C5" t="s">
        <v>17</v>
      </c>
      <c r="E5" s="5" t="s">
        <v>19</v>
      </c>
      <c r="F5" t="s">
        <v>24</v>
      </c>
      <c r="G5" s="1">
        <v>44566</v>
      </c>
      <c r="H5">
        <v>364</v>
      </c>
      <c r="I5" s="1">
        <v>44926</v>
      </c>
      <c r="J5" t="str">
        <f>IF(Tabla1[[#This Row],[Fecha de Vencimiento]]="","",IF(K5&lt;0,"Vencido hace "&amp;K5*-1&amp;" días",IF(K5=0,"Vence hoy",K5&amp;" dias por Vencer")))</f>
        <v>360 dias por Vencer</v>
      </c>
      <c r="K5">
        <f>IF(Tabla1[[#This Row],[Fecha de Vencimiento]]="","",I5-G5)</f>
        <v>360</v>
      </c>
    </row>
    <row r="6" spans="1:14" x14ac:dyDescent="0.25">
      <c r="B6">
        <v>2</v>
      </c>
      <c r="C6" t="s">
        <v>17</v>
      </c>
      <c r="E6" s="5" t="s">
        <v>20</v>
      </c>
      <c r="F6" t="s">
        <v>24</v>
      </c>
      <c r="G6" s="1">
        <v>44566</v>
      </c>
      <c r="H6">
        <v>364</v>
      </c>
      <c r="I6" s="1">
        <v>44926</v>
      </c>
      <c r="J6" t="str">
        <f>IF(Tabla1[[#This Row],[Fecha de Vencimiento]]="","",IF(K6&lt;0,"Vencido hace "&amp;K6*-1&amp;" días",IF(K6=0,"Vence hoy",K6&amp;" dias por Vencer")))</f>
        <v>360 dias por Vencer</v>
      </c>
      <c r="K6">
        <f>IF(Tabla1[[#This Row],[Fecha de Vencimiento]]="","",I6-G6)</f>
        <v>360</v>
      </c>
    </row>
    <row r="7" spans="1:14" x14ac:dyDescent="0.25">
      <c r="A7" t="s">
        <v>213</v>
      </c>
      <c r="B7">
        <v>3</v>
      </c>
      <c r="C7" t="s">
        <v>17</v>
      </c>
      <c r="E7" s="5" t="s">
        <v>21</v>
      </c>
      <c r="F7" t="s">
        <v>24</v>
      </c>
      <c r="G7" s="1">
        <v>44566</v>
      </c>
      <c r="H7">
        <v>364</v>
      </c>
      <c r="I7" s="1">
        <v>44926</v>
      </c>
      <c r="J7" t="str">
        <f>IF(Tabla1[[#This Row],[Fecha de Vencimiento]]="","",IF(K7&lt;0,"Vencido hace "&amp;K7*-1&amp;" días",IF(K7=0,"Vence hoy",K7&amp;" dias por Vencer")))</f>
        <v>360 dias por Vencer</v>
      </c>
      <c r="K7">
        <f>IF(Tabla1[[#This Row],[Fecha de Vencimiento]]="","",I7-G7)</f>
        <v>360</v>
      </c>
    </row>
    <row r="8" spans="1:14" x14ac:dyDescent="0.25">
      <c r="A8" t="s">
        <v>191</v>
      </c>
      <c r="B8">
        <v>4</v>
      </c>
      <c r="C8" t="s">
        <v>17</v>
      </c>
      <c r="D8" t="s">
        <v>25</v>
      </c>
      <c r="E8" s="5" t="s">
        <v>23</v>
      </c>
      <c r="F8" t="s">
        <v>22</v>
      </c>
      <c r="G8" s="1">
        <v>44566</v>
      </c>
      <c r="H8">
        <v>364</v>
      </c>
      <c r="I8" s="1">
        <v>44926</v>
      </c>
      <c r="J8" s="3" t="str">
        <f>IF(Tabla1[[#This Row],[Fecha de Vencimiento]]="","",IF(K8&lt;0,"Vencido hace "&amp;K8*-1&amp;" días",IF(K8=0,"Vence hoy",K8&amp;" dias por Vencer")))</f>
        <v>360 dias por Vencer</v>
      </c>
      <c r="K8" s="3">
        <f>IF(Tabla1[[#This Row],[Fecha de Vencimiento]]="","",I8-G8)</f>
        <v>360</v>
      </c>
    </row>
    <row r="9" spans="1:14" x14ac:dyDescent="0.25">
      <c r="A9" t="s">
        <v>137</v>
      </c>
      <c r="B9">
        <v>5</v>
      </c>
      <c r="C9" t="s">
        <v>17</v>
      </c>
      <c r="E9" s="5" t="s">
        <v>26</v>
      </c>
      <c r="F9" t="s">
        <v>33</v>
      </c>
      <c r="G9" s="1">
        <v>44564</v>
      </c>
      <c r="H9">
        <v>364</v>
      </c>
      <c r="I9" s="4">
        <v>44926</v>
      </c>
      <c r="J9" s="3" t="str">
        <f>IF(Tabla1[[#This Row],[Fecha de Vencimiento]]="","",IF(K9&lt;0,"Vencido hace "&amp;K9*-1&amp;" días",IF(K9=0,"Vence hoy",K9&amp;" dias por Vencer")))</f>
        <v>362 dias por Vencer</v>
      </c>
      <c r="K9" s="3">
        <f>IF(Tabla1[[#This Row],[Fecha de Vencimiento]]="","",I9-G9)</f>
        <v>362</v>
      </c>
      <c r="N9" t="s">
        <v>121</v>
      </c>
    </row>
    <row r="10" spans="1:14" x14ac:dyDescent="0.25">
      <c r="A10" t="s">
        <v>138</v>
      </c>
      <c r="B10">
        <v>6</v>
      </c>
      <c r="C10" t="s">
        <v>17</v>
      </c>
      <c r="E10" s="5" t="s">
        <v>27</v>
      </c>
      <c r="F10" t="s">
        <v>28</v>
      </c>
      <c r="G10" s="1">
        <v>44566</v>
      </c>
      <c r="H10">
        <v>364</v>
      </c>
      <c r="I10" s="4">
        <v>44926</v>
      </c>
      <c r="J10" s="3" t="str">
        <f>IF(Tabla1[[#This Row],[Fecha de Vencimiento]]="","",IF(K10&lt;0,"Vencido hace "&amp;K10*-1&amp;" días",IF(K10=0,"Vence hoy",K10&amp;" dias por Vencer")))</f>
        <v>360 dias por Vencer</v>
      </c>
      <c r="K10" s="3">
        <f>IF(Tabla1[[#This Row],[Fecha de Vencimiento]]="","",I10-G10)</f>
        <v>360</v>
      </c>
    </row>
    <row r="11" spans="1:14" x14ac:dyDescent="0.25">
      <c r="A11" t="s">
        <v>140</v>
      </c>
      <c r="B11">
        <v>7</v>
      </c>
      <c r="C11" t="s">
        <v>17</v>
      </c>
      <c r="E11" s="5" t="s">
        <v>29</v>
      </c>
      <c r="F11" t="s">
        <v>30</v>
      </c>
      <c r="G11" s="1">
        <v>44566</v>
      </c>
      <c r="H11">
        <v>364</v>
      </c>
      <c r="I11" s="4">
        <v>44926</v>
      </c>
      <c r="J11" s="3" t="str">
        <f>IF(Tabla1[[#This Row],[Fecha de Vencimiento]]="","",IF(K11&lt;0,"Vencido hace "&amp;K11*-1&amp;" días",IF(K11=0,"Vence hoy",K11&amp;" dias por Vencer")))</f>
        <v>360 dias por Vencer</v>
      </c>
      <c r="K11" s="3">
        <f>IF(Tabla1[[#This Row],[Fecha de Vencimiento]]="","",I11-G11)</f>
        <v>360</v>
      </c>
      <c r="N11" t="s">
        <v>142</v>
      </c>
    </row>
    <row r="12" spans="1:14" x14ac:dyDescent="0.25">
      <c r="A12" t="s">
        <v>141</v>
      </c>
      <c r="B12">
        <v>8</v>
      </c>
      <c r="C12" t="s">
        <v>17</v>
      </c>
      <c r="E12" s="5" t="s">
        <v>31</v>
      </c>
      <c r="F12" t="s">
        <v>30</v>
      </c>
      <c r="G12" s="1">
        <v>44566</v>
      </c>
      <c r="H12">
        <v>364</v>
      </c>
      <c r="I12" s="4">
        <v>44926</v>
      </c>
      <c r="J12" s="3" t="str">
        <f>IF(Tabla1[[#This Row],[Fecha de Vencimiento]]="","",IF(K12&lt;0,"Vencido hace "&amp;K12*-1&amp;" días",IF(K12=0,"Vence hoy",K12&amp;" dias por Vencer")))</f>
        <v>360 dias por Vencer</v>
      </c>
      <c r="K12" s="3">
        <f>IF(Tabla1[[#This Row],[Fecha de Vencimiento]]="","",I12-G12)</f>
        <v>360</v>
      </c>
      <c r="N12" t="s">
        <v>142</v>
      </c>
    </row>
    <row r="13" spans="1:14" x14ac:dyDescent="0.25">
      <c r="A13" t="s">
        <v>143</v>
      </c>
      <c r="B13">
        <v>9</v>
      </c>
      <c r="C13" t="s">
        <v>17</v>
      </c>
      <c r="E13" s="5" t="s">
        <v>32</v>
      </c>
      <c r="F13" t="s">
        <v>30</v>
      </c>
      <c r="G13" s="1">
        <v>44566</v>
      </c>
      <c r="H13">
        <v>364</v>
      </c>
      <c r="I13" s="4">
        <v>44926</v>
      </c>
      <c r="J13" s="3" t="str">
        <f>IF(Tabla1[[#This Row],[Fecha de Vencimiento]]="","",IF(K13&lt;0,"Vencido hace "&amp;K13*-1&amp;" días",IF(K13=0,"Vence hoy",K13&amp;" dias por Vencer")))</f>
        <v>360 dias por Vencer</v>
      </c>
      <c r="K13" s="3">
        <f>IF(Tabla1[[#This Row],[Fecha de Vencimiento]]="","",I13-G13)</f>
        <v>360</v>
      </c>
      <c r="N13" t="s">
        <v>142</v>
      </c>
    </row>
    <row r="14" spans="1:14" x14ac:dyDescent="0.25">
      <c r="A14" t="s">
        <v>144</v>
      </c>
      <c r="B14">
        <v>10</v>
      </c>
      <c r="C14" t="s">
        <v>17</v>
      </c>
      <c r="E14" s="5" t="s">
        <v>35</v>
      </c>
      <c r="F14" t="s">
        <v>34</v>
      </c>
      <c r="G14" s="1">
        <v>44571</v>
      </c>
      <c r="H14">
        <v>364</v>
      </c>
      <c r="I14" s="4">
        <v>44926</v>
      </c>
      <c r="J14" s="3" t="str">
        <f>IF(Tabla1[[#This Row],[Fecha de Vencimiento]]="","",IF(K14&lt;0,"Vencido hace "&amp;K14*-1&amp;" días",IF(K14=0,"Vence hoy",K14&amp;" dias por Vencer")))</f>
        <v>355 dias por Vencer</v>
      </c>
      <c r="K14" s="3">
        <f>IF(Tabla1[[#This Row],[Fecha de Vencimiento]]="","",I14-G14)</f>
        <v>355</v>
      </c>
    </row>
    <row r="15" spans="1:14" x14ac:dyDescent="0.25">
      <c r="A15" t="s">
        <v>145</v>
      </c>
      <c r="B15">
        <v>11</v>
      </c>
      <c r="C15" t="s">
        <v>17</v>
      </c>
      <c r="E15" s="5" t="s">
        <v>36</v>
      </c>
      <c r="F15" t="s">
        <v>34</v>
      </c>
      <c r="G15" s="1">
        <v>44564</v>
      </c>
      <c r="H15">
        <v>364</v>
      </c>
      <c r="I15" s="4">
        <v>44926</v>
      </c>
      <c r="J15" s="3" t="str">
        <f>IF(Tabla1[[#This Row],[Fecha de Vencimiento]]="","",IF(K15&lt;0,"Vencido hace "&amp;K15*-1&amp;" días",IF(K15=0,"Vence hoy",K15&amp;" dias por Vencer")))</f>
        <v>362 dias por Vencer</v>
      </c>
      <c r="K15" s="3">
        <f>IF(Tabla1[[#This Row],[Fecha de Vencimiento]]="","",I15-G15)</f>
        <v>362</v>
      </c>
    </row>
    <row r="16" spans="1:14" x14ac:dyDescent="0.25">
      <c r="A16" t="s">
        <v>202</v>
      </c>
      <c r="B16">
        <v>12</v>
      </c>
      <c r="C16" t="s">
        <v>17</v>
      </c>
      <c r="E16" s="5" t="s">
        <v>37</v>
      </c>
      <c r="F16" t="s">
        <v>38</v>
      </c>
      <c r="G16" s="1">
        <v>44566</v>
      </c>
      <c r="H16">
        <v>364</v>
      </c>
      <c r="I16" s="4">
        <v>44926</v>
      </c>
      <c r="J16" s="3" t="str">
        <f>IF(Tabla1[[#This Row],[Fecha de Vencimiento]]="","",IF(K16&lt;0,"Vencido hace "&amp;K16*-1&amp;" días",IF(K16=0,"Vence hoy",K16&amp;" dias por Vencer")))</f>
        <v>360 dias por Vencer</v>
      </c>
      <c r="K16" s="3">
        <f>IF(Tabla1[[#This Row],[Fecha de Vencimiento]]="","",I16-G16)</f>
        <v>360</v>
      </c>
    </row>
    <row r="17" spans="1:11" x14ac:dyDescent="0.25">
      <c r="A17" t="s">
        <v>146</v>
      </c>
      <c r="B17">
        <v>13</v>
      </c>
      <c r="C17" t="s">
        <v>17</v>
      </c>
      <c r="E17" s="5" t="s">
        <v>40</v>
      </c>
      <c r="F17" t="s">
        <v>39</v>
      </c>
      <c r="G17" s="1">
        <v>44565</v>
      </c>
      <c r="H17">
        <v>364</v>
      </c>
      <c r="I17" s="4">
        <v>44926</v>
      </c>
      <c r="J17" s="3" t="str">
        <f>IF(Tabla1[[#This Row],[Fecha de Vencimiento]]="","",IF(K17&lt;0,"Vencido hace "&amp;K17*-1&amp;" días",IF(K17=0,"Vence hoy",K17&amp;" dias por Vencer")))</f>
        <v>361 dias por Vencer</v>
      </c>
      <c r="K17" s="3">
        <f>IF(Tabla1[[#This Row],[Fecha de Vencimiento]]="","",I17-G17)</f>
        <v>361</v>
      </c>
    </row>
    <row r="18" spans="1:11" s="8" customFormat="1" x14ac:dyDescent="0.25">
      <c r="A18" s="8" t="s">
        <v>332</v>
      </c>
      <c r="B18" s="8">
        <v>14</v>
      </c>
      <c r="C18" s="8" t="s">
        <v>17</v>
      </c>
      <c r="E18" s="12" t="s">
        <v>41</v>
      </c>
      <c r="F18" s="8" t="s">
        <v>42</v>
      </c>
      <c r="G18" s="9">
        <v>44564</v>
      </c>
      <c r="H18" s="8">
        <v>364</v>
      </c>
      <c r="I18" s="10">
        <v>44926</v>
      </c>
      <c r="J18" s="11" t="str">
        <f>IF(Tabla1[[#This Row],[Fecha de Vencimiento]]="","",IF(K18&lt;0,"Vencido hace "&amp;K18*-1&amp;" días",IF(K18=0,"Vence hoy",K18&amp;" dias por Vencer")))</f>
        <v>362 dias por Vencer</v>
      </c>
      <c r="K18" s="11">
        <f>IF(Tabla1[[#This Row],[Fecha de Vencimiento]]="","",I18-G18)</f>
        <v>362</v>
      </c>
    </row>
    <row r="19" spans="1:11" x14ac:dyDescent="0.25">
      <c r="A19" t="s">
        <v>156</v>
      </c>
      <c r="B19">
        <v>15</v>
      </c>
      <c r="C19" t="s">
        <v>43</v>
      </c>
      <c r="E19" s="5" t="s">
        <v>44</v>
      </c>
      <c r="F19" t="s">
        <v>45</v>
      </c>
      <c r="G19" s="1">
        <v>44564</v>
      </c>
      <c r="H19">
        <v>364</v>
      </c>
      <c r="I19" s="4">
        <v>44926</v>
      </c>
      <c r="J19" s="3" t="str">
        <f>IF(Tabla1[[#This Row],[Fecha de Vencimiento]]="","",IF(K19&lt;0,"Vencido hace "&amp;K19*-1&amp;" días",IF(K19=0,"Vence hoy",K19&amp;" dias por Vencer")))</f>
        <v>362 dias por Vencer</v>
      </c>
      <c r="K19" s="3">
        <f>IF(Tabla1[[#This Row],[Fecha de Vencimiento]]="","",I19-G19)</f>
        <v>362</v>
      </c>
    </row>
    <row r="20" spans="1:11" x14ac:dyDescent="0.25">
      <c r="A20" t="s">
        <v>158</v>
      </c>
      <c r="B20">
        <v>16</v>
      </c>
      <c r="C20" t="s">
        <v>43</v>
      </c>
      <c r="E20" s="5" t="s">
        <v>46</v>
      </c>
      <c r="F20" t="s">
        <v>45</v>
      </c>
      <c r="G20" s="1">
        <v>44564</v>
      </c>
      <c r="H20">
        <v>364</v>
      </c>
      <c r="I20" s="4">
        <v>44926</v>
      </c>
      <c r="J20" s="3" t="str">
        <f>IF(Tabla1[[#This Row],[Fecha de Vencimiento]]="","",IF(K20&lt;0,"Vencido hace "&amp;K20*-1&amp;" días",IF(K20=0,"Vence hoy",K20&amp;" dias por Vencer")))</f>
        <v>362 dias por Vencer</v>
      </c>
      <c r="K20" s="3">
        <f>IF(Tabla1[[#This Row],[Fecha de Vencimiento]]="","",I20-G20)</f>
        <v>362</v>
      </c>
    </row>
    <row r="21" spans="1:11" x14ac:dyDescent="0.25">
      <c r="A21" t="s">
        <v>157</v>
      </c>
      <c r="B21">
        <v>17</v>
      </c>
      <c r="C21" t="s">
        <v>43</v>
      </c>
      <c r="E21" s="5" t="s">
        <v>47</v>
      </c>
      <c r="F21" t="s">
        <v>45</v>
      </c>
      <c r="G21" s="1">
        <v>44564</v>
      </c>
      <c r="H21">
        <v>364</v>
      </c>
      <c r="I21" s="4">
        <v>44926</v>
      </c>
      <c r="J21" s="3" t="str">
        <f>IF(Tabla1[[#This Row],[Fecha de Vencimiento]]="","",IF(K21&lt;0,"Vencido hace "&amp;K21*-1&amp;" días",IF(K21=0,"Vence hoy",K21&amp;" dias por Vencer")))</f>
        <v>362 dias por Vencer</v>
      </c>
      <c r="K21" s="3">
        <f>IF(Tabla1[[#This Row],[Fecha de Vencimiento]]="","",I21-G21)</f>
        <v>362</v>
      </c>
    </row>
    <row r="22" spans="1:11" x14ac:dyDescent="0.25">
      <c r="A22" t="s">
        <v>155</v>
      </c>
      <c r="B22">
        <v>18</v>
      </c>
      <c r="C22" t="s">
        <v>43</v>
      </c>
      <c r="E22" s="5" t="s">
        <v>48</v>
      </c>
      <c r="F22" t="s">
        <v>45</v>
      </c>
      <c r="G22" s="1">
        <v>44564</v>
      </c>
      <c r="H22">
        <v>364</v>
      </c>
      <c r="I22" s="4">
        <v>44926</v>
      </c>
      <c r="J22" s="3" t="str">
        <f>IF(Tabla1[[#This Row],[Fecha de Vencimiento]]="","",IF(K22&lt;0,"Vencido hace "&amp;K22*-1&amp;" días",IF(K22=0,"Vence hoy",K22&amp;" dias por Vencer")))</f>
        <v>362 dias por Vencer</v>
      </c>
      <c r="K22" s="3">
        <f>IF(Tabla1[[#This Row],[Fecha de Vencimiento]]="","",I22-G22)</f>
        <v>362</v>
      </c>
    </row>
    <row r="23" spans="1:11" x14ac:dyDescent="0.25">
      <c r="A23" t="s">
        <v>159</v>
      </c>
      <c r="B23">
        <v>19</v>
      </c>
      <c r="C23" t="s">
        <v>43</v>
      </c>
      <c r="E23" s="5" t="s">
        <v>49</v>
      </c>
      <c r="F23" t="s">
        <v>45</v>
      </c>
      <c r="G23" s="1">
        <v>44567</v>
      </c>
      <c r="H23">
        <v>364</v>
      </c>
      <c r="I23" s="4">
        <v>44926</v>
      </c>
      <c r="J23" s="3" t="str">
        <f>IF(Tabla1[[#This Row],[Fecha de Vencimiento]]="","",IF(K23&lt;0,"Vencido hace "&amp;K23*-1&amp;" días",IF(K23=0,"Vence hoy",K23&amp;" dias por Vencer")))</f>
        <v>359 dias por Vencer</v>
      </c>
      <c r="K23" s="3">
        <f>IF(Tabla1[[#This Row],[Fecha de Vencimiento]]="","",I23-G23)</f>
        <v>359</v>
      </c>
    </row>
    <row r="24" spans="1:11" x14ac:dyDescent="0.25">
      <c r="A24" t="s">
        <v>148</v>
      </c>
      <c r="B24">
        <v>20</v>
      </c>
      <c r="C24" t="s">
        <v>50</v>
      </c>
      <c r="E24" s="5" t="s">
        <v>52</v>
      </c>
      <c r="F24" t="s">
        <v>51</v>
      </c>
      <c r="G24" s="1">
        <v>44564</v>
      </c>
      <c r="H24">
        <v>364</v>
      </c>
      <c r="I24" s="4">
        <v>44926</v>
      </c>
      <c r="J24" s="3" t="str">
        <f>IF(Tabla1[[#This Row],[Fecha de Vencimiento]]="","",IF(K24&lt;0,"Vencido hace "&amp;K24*-1&amp;" días",IF(K24=0,"Vence hoy",K24&amp;" dias por Vencer")))</f>
        <v>362 dias por Vencer</v>
      </c>
      <c r="K24" s="3">
        <f>IF(Tabla1[[#This Row],[Fecha de Vencimiento]]="","",I24-G24)</f>
        <v>362</v>
      </c>
    </row>
    <row r="25" spans="1:11" x14ac:dyDescent="0.25">
      <c r="A25" t="s">
        <v>147</v>
      </c>
      <c r="B25">
        <v>21</v>
      </c>
      <c r="C25" t="s">
        <v>50</v>
      </c>
      <c r="E25" s="5" t="s">
        <v>53</v>
      </c>
      <c r="F25" t="s">
        <v>54</v>
      </c>
      <c r="G25" s="1">
        <v>44564</v>
      </c>
      <c r="H25">
        <v>364</v>
      </c>
      <c r="I25" s="4">
        <v>44926</v>
      </c>
      <c r="J25" s="3" t="str">
        <f>IF(Tabla1[[#This Row],[Fecha de Vencimiento]]="","",IF(K25&lt;0,"Vencido hace "&amp;K25*-1&amp;" días",IF(K25=0,"Vence hoy",K25&amp;" dias por Vencer")))</f>
        <v>362 dias por Vencer</v>
      </c>
      <c r="K25" s="3">
        <f>IF(Tabla1[[#This Row],[Fecha de Vencimiento]]="","",I25-G25)</f>
        <v>362</v>
      </c>
    </row>
    <row r="26" spans="1:11" x14ac:dyDescent="0.25">
      <c r="A26" t="s">
        <v>149</v>
      </c>
      <c r="B26">
        <v>22</v>
      </c>
      <c r="C26" t="s">
        <v>50</v>
      </c>
      <c r="E26" s="5" t="s">
        <v>55</v>
      </c>
      <c r="F26" t="s">
        <v>56</v>
      </c>
      <c r="G26" s="1">
        <v>44564</v>
      </c>
      <c r="H26">
        <v>364</v>
      </c>
      <c r="I26" s="4">
        <v>44926</v>
      </c>
      <c r="J26" s="3" t="str">
        <f>IF(Tabla1[[#This Row],[Fecha de Vencimiento]]="","",IF(K26&lt;0,"Vencido hace "&amp;K26*-1&amp;" días",IF(K26=0,"Vence hoy",K26&amp;" dias por Vencer")))</f>
        <v>362 dias por Vencer</v>
      </c>
      <c r="K26" s="3">
        <f>IF(Tabla1[[#This Row],[Fecha de Vencimiento]]="","",I26-G26)</f>
        <v>362</v>
      </c>
    </row>
    <row r="27" spans="1:11" x14ac:dyDescent="0.25">
      <c r="A27" t="s">
        <v>150</v>
      </c>
      <c r="B27">
        <v>23</v>
      </c>
      <c r="C27" t="s">
        <v>50</v>
      </c>
      <c r="E27" s="5" t="s">
        <v>57</v>
      </c>
      <c r="F27" t="s">
        <v>58</v>
      </c>
      <c r="G27" s="1">
        <v>44564</v>
      </c>
      <c r="H27">
        <v>364</v>
      </c>
      <c r="I27" s="4">
        <v>44926</v>
      </c>
      <c r="J27" s="3" t="str">
        <f>IF(Tabla1[[#This Row],[Fecha de Vencimiento]]="","",IF(K27&lt;0,"Vencido hace "&amp;K27*-1&amp;" días",IF(K27=0,"Vence hoy",K27&amp;" dias por Vencer")))</f>
        <v>362 dias por Vencer</v>
      </c>
      <c r="K27" s="3">
        <f>IF(Tabla1[[#This Row],[Fecha de Vencimiento]]="","",I27-G27)</f>
        <v>362</v>
      </c>
    </row>
    <row r="28" spans="1:11" x14ac:dyDescent="0.25">
      <c r="A28" t="s">
        <v>151</v>
      </c>
      <c r="B28">
        <v>24</v>
      </c>
      <c r="C28" t="s">
        <v>50</v>
      </c>
      <c r="E28" s="5" t="s">
        <v>59</v>
      </c>
      <c r="F28" t="s">
        <v>60</v>
      </c>
      <c r="G28" s="1">
        <v>44564</v>
      </c>
      <c r="H28">
        <v>364</v>
      </c>
      <c r="I28" s="4">
        <v>44926</v>
      </c>
      <c r="J28" s="3" t="str">
        <f>IF(Tabla1[[#This Row],[Fecha de Vencimiento]]="","",IF(K28&lt;0,"Vencido hace "&amp;K28*-1&amp;" días",IF(K28=0,"Vence hoy",K28&amp;" dias por Vencer")))</f>
        <v>362 dias por Vencer</v>
      </c>
      <c r="K28" s="3">
        <f>IF(Tabla1[[#This Row],[Fecha de Vencimiento]]="","",I28-G28)</f>
        <v>362</v>
      </c>
    </row>
    <row r="29" spans="1:11" x14ac:dyDescent="0.25">
      <c r="A29" t="s">
        <v>153</v>
      </c>
      <c r="B29">
        <v>25</v>
      </c>
      <c r="C29" t="s">
        <v>50</v>
      </c>
      <c r="E29" s="5" t="s">
        <v>62</v>
      </c>
      <c r="F29" t="s">
        <v>61</v>
      </c>
      <c r="G29" s="1">
        <v>44564</v>
      </c>
      <c r="H29">
        <v>364</v>
      </c>
      <c r="I29" s="4">
        <v>44926</v>
      </c>
      <c r="J29" s="3" t="str">
        <f>IF(Tabla1[[#This Row],[Fecha de Vencimiento]]="","",IF(K29&lt;0,"Vencido hace "&amp;K29*-1&amp;" días",IF(K29=0,"Vence hoy",K29&amp;" dias por Vencer")))</f>
        <v>362 dias por Vencer</v>
      </c>
      <c r="K29" s="3">
        <f>IF(Tabla1[[#This Row],[Fecha de Vencimiento]]="","",I29-G29)</f>
        <v>362</v>
      </c>
    </row>
    <row r="30" spans="1:11" x14ac:dyDescent="0.25">
      <c r="A30" t="s">
        <v>152</v>
      </c>
      <c r="B30">
        <v>26</v>
      </c>
      <c r="C30" t="s">
        <v>50</v>
      </c>
      <c r="E30" s="5" t="s">
        <v>63</v>
      </c>
      <c r="F30" t="s">
        <v>61</v>
      </c>
      <c r="G30" s="1">
        <v>44564</v>
      </c>
      <c r="H30">
        <v>364</v>
      </c>
      <c r="I30" s="4">
        <v>44926</v>
      </c>
      <c r="J30" s="3" t="str">
        <f>IF(Tabla1[[#This Row],[Fecha de Vencimiento]]="","",IF(K30&lt;0,"Vencido hace "&amp;K30*-1&amp;" días",IF(K30=0,"Vence hoy",K30&amp;" dias por Vencer")))</f>
        <v>362 dias por Vencer</v>
      </c>
      <c r="K30" s="3">
        <f>IF(Tabla1[[#This Row],[Fecha de Vencimiento]]="","",I30-G30)</f>
        <v>362</v>
      </c>
    </row>
    <row r="31" spans="1:11" x14ac:dyDescent="0.25">
      <c r="A31" t="s">
        <v>166</v>
      </c>
      <c r="B31">
        <v>27</v>
      </c>
      <c r="C31" t="s">
        <v>50</v>
      </c>
      <c r="E31" s="5" t="s">
        <v>65</v>
      </c>
      <c r="F31" t="s">
        <v>64</v>
      </c>
      <c r="G31" s="1">
        <v>44564</v>
      </c>
      <c r="H31">
        <v>364</v>
      </c>
      <c r="I31" s="4">
        <v>44926</v>
      </c>
      <c r="J31" s="3" t="str">
        <f>IF(Tabla1[[#This Row],[Fecha de Vencimiento]]="","",IF(K31&lt;0,"Vencido hace "&amp;K31*-1&amp;" días",IF(K31=0,"Vence hoy",K31&amp;" dias por Vencer")))</f>
        <v>362 dias por Vencer</v>
      </c>
      <c r="K31" s="3">
        <f>IF(Tabla1[[#This Row],[Fecha de Vencimiento]]="","",I31-G31)</f>
        <v>362</v>
      </c>
    </row>
    <row r="32" spans="1:11" x14ac:dyDescent="0.25">
      <c r="B32">
        <v>28</v>
      </c>
      <c r="C32" t="s">
        <v>50</v>
      </c>
      <c r="E32" s="5" t="s">
        <v>66</v>
      </c>
      <c r="F32" t="s">
        <v>64</v>
      </c>
      <c r="G32" s="1">
        <v>44564</v>
      </c>
      <c r="H32">
        <v>364</v>
      </c>
      <c r="I32" s="4">
        <v>44926</v>
      </c>
      <c r="J32" s="3" t="str">
        <f>IF(Tabla1[[#This Row],[Fecha de Vencimiento]]="","",IF(K32&lt;0,"Vencido hace "&amp;K32*-1&amp;" días",IF(K32=0,"Vence hoy",K32&amp;" dias por Vencer")))</f>
        <v>362 dias por Vencer</v>
      </c>
      <c r="K32" s="3">
        <f>IF(Tabla1[[#This Row],[Fecha de Vencimiento]]="","",I32-G32)</f>
        <v>362</v>
      </c>
    </row>
    <row r="33" spans="1:14" x14ac:dyDescent="0.25">
      <c r="A33" t="s">
        <v>154</v>
      </c>
      <c r="B33">
        <v>29</v>
      </c>
      <c r="C33" t="s">
        <v>67</v>
      </c>
      <c r="E33" s="5" t="s">
        <v>68</v>
      </c>
      <c r="F33" t="s">
        <v>69</v>
      </c>
      <c r="G33" s="1">
        <v>44564</v>
      </c>
      <c r="H33">
        <v>364</v>
      </c>
      <c r="I33" s="4">
        <v>44926</v>
      </c>
      <c r="J33" s="3" t="str">
        <f>IF(Tabla1[[#This Row],[Fecha de Vencimiento]]="","",IF(K33&lt;0,"Vencido hace "&amp;K33*-1&amp;" días",IF(K33=0,"Vence hoy",K33&amp;" dias por Vencer")))</f>
        <v>362 dias por Vencer</v>
      </c>
      <c r="K33" s="3">
        <f>IF(Tabla1[[#This Row],[Fecha de Vencimiento]]="","",I33-G33)</f>
        <v>362</v>
      </c>
    </row>
    <row r="34" spans="1:14" x14ac:dyDescent="0.25">
      <c r="A34" t="s">
        <v>160</v>
      </c>
      <c r="B34">
        <v>30</v>
      </c>
      <c r="C34" t="s">
        <v>70</v>
      </c>
      <c r="E34" s="5" t="s">
        <v>71</v>
      </c>
      <c r="F34" t="s">
        <v>72</v>
      </c>
      <c r="G34" s="1">
        <v>44564</v>
      </c>
      <c r="H34">
        <v>364</v>
      </c>
      <c r="I34" s="4">
        <v>44926</v>
      </c>
      <c r="J34" s="3" t="str">
        <f>IF(Tabla1[[#This Row],[Fecha de Vencimiento]]="","",IF(K34&lt;0,"Vencido hace "&amp;K34*-1&amp;" días",IF(K34=0,"Vence hoy",K34&amp;" dias por Vencer")))</f>
        <v>362 dias por Vencer</v>
      </c>
      <c r="K34" s="3">
        <f>IF(Tabla1[[#This Row],[Fecha de Vencimiento]]="","",I34-G34)</f>
        <v>362</v>
      </c>
    </row>
    <row r="35" spans="1:14" x14ac:dyDescent="0.25">
      <c r="A35" t="s">
        <v>161</v>
      </c>
      <c r="B35">
        <v>31</v>
      </c>
      <c r="C35" t="s">
        <v>70</v>
      </c>
      <c r="E35" s="5" t="s">
        <v>73</v>
      </c>
      <c r="F35" t="s">
        <v>74</v>
      </c>
      <c r="G35" s="1">
        <v>44564</v>
      </c>
      <c r="H35">
        <v>364</v>
      </c>
      <c r="I35" s="4">
        <v>44926</v>
      </c>
      <c r="J35" s="3" t="str">
        <f>IF(Tabla1[[#This Row],[Fecha de Vencimiento]]="","",IF(K35&lt;0,"Vencido hace "&amp;K35*-1&amp;" días",IF(K35=0,"Vence hoy",K35&amp;" dias por Vencer")))</f>
        <v>362 dias por Vencer</v>
      </c>
      <c r="K35" s="3">
        <f>IF(Tabla1[[#This Row],[Fecha de Vencimiento]]="","",I35-G35)</f>
        <v>362</v>
      </c>
    </row>
    <row r="36" spans="1:14" x14ac:dyDescent="0.25">
      <c r="A36" t="s">
        <v>165</v>
      </c>
      <c r="B36">
        <v>32</v>
      </c>
      <c r="C36" t="s">
        <v>67</v>
      </c>
      <c r="E36" s="5" t="s">
        <v>75</v>
      </c>
      <c r="F36" t="s">
        <v>76</v>
      </c>
      <c r="G36" s="1">
        <v>44564</v>
      </c>
      <c r="H36">
        <v>364</v>
      </c>
      <c r="I36" s="4">
        <v>44926</v>
      </c>
      <c r="J36" s="3" t="str">
        <f>IF(Tabla1[[#This Row],[Fecha de Vencimiento]]="","",IF(K36&lt;0,"Vencido hace "&amp;K36*-1&amp;" días",IF(K36=0,"Vence hoy",K36&amp;" dias por Vencer")))</f>
        <v>362 dias por Vencer</v>
      </c>
      <c r="K36" s="3">
        <f>IF(Tabla1[[#This Row],[Fecha de Vencimiento]]="","",I36-G36)</f>
        <v>362</v>
      </c>
    </row>
    <row r="37" spans="1:14" x14ac:dyDescent="0.25">
      <c r="A37" t="s">
        <v>187</v>
      </c>
      <c r="B37">
        <v>33</v>
      </c>
      <c r="C37" t="s">
        <v>70</v>
      </c>
      <c r="E37" s="5" t="s">
        <v>77</v>
      </c>
      <c r="F37" t="s">
        <v>78</v>
      </c>
      <c r="G37" s="1">
        <v>44562</v>
      </c>
      <c r="H37">
        <v>364</v>
      </c>
      <c r="I37" s="4">
        <f>IF(Tabla1[[#This Row],[Fecha]]="","",G37+H37)</f>
        <v>44926</v>
      </c>
      <c r="J37" s="3" t="str">
        <f>IF(Tabla1[[#This Row],[Fecha de Vencimiento]]="","",IF(K37&lt;0,"Vencido hace "&amp;K37*-1&amp;" días",IF(K37=0,"Vence hoy",K37&amp;" dias por Vencer")))</f>
        <v>364 dias por Vencer</v>
      </c>
      <c r="K37" s="3">
        <f>IF(Tabla1[[#This Row],[Fecha de Vencimiento]]="","",I37-G37)</f>
        <v>364</v>
      </c>
    </row>
    <row r="38" spans="1:14" x14ac:dyDescent="0.25">
      <c r="A38" t="s">
        <v>186</v>
      </c>
      <c r="B38">
        <v>34</v>
      </c>
      <c r="C38" t="s">
        <v>70</v>
      </c>
      <c r="E38" s="5" t="s">
        <v>79</v>
      </c>
      <c r="F38" t="s">
        <v>80</v>
      </c>
      <c r="G38" s="1">
        <v>44564</v>
      </c>
      <c r="H38">
        <v>364</v>
      </c>
      <c r="I38" s="4">
        <v>44926</v>
      </c>
      <c r="J38" s="3" t="str">
        <f>IF(Tabla1[[#This Row],[Fecha de Vencimiento]]="","",IF(K38&lt;0,"Vencido hace "&amp;K38*-1&amp;" días",IF(K38=0,"Vence hoy",K38&amp;" dias por Vencer")))</f>
        <v>362 dias por Vencer</v>
      </c>
      <c r="K38" s="3">
        <f>IF(Tabla1[[#This Row],[Fecha de Vencimiento]]="","",I38-G38)</f>
        <v>362</v>
      </c>
    </row>
    <row r="39" spans="1:14" x14ac:dyDescent="0.25">
      <c r="A39" t="s">
        <v>134</v>
      </c>
      <c r="B39">
        <v>35</v>
      </c>
      <c r="C39" t="s">
        <v>17</v>
      </c>
      <c r="E39" s="5" t="s">
        <v>81</v>
      </c>
      <c r="F39" t="s">
        <v>82</v>
      </c>
      <c r="G39" s="1">
        <v>44566</v>
      </c>
      <c r="H39">
        <v>364</v>
      </c>
      <c r="I39" s="4">
        <v>44926</v>
      </c>
      <c r="J39" s="3" t="str">
        <f>IF(Tabla1[[#This Row],[Fecha de Vencimiento]]="","",IF(K39&lt;0,"Vencido hace "&amp;K39*-1&amp;" días",IF(K39=0,"Vence hoy",K39&amp;" dias por Vencer")))</f>
        <v>360 dias por Vencer</v>
      </c>
      <c r="K39" s="3">
        <f>IF(Tabla1[[#This Row],[Fecha de Vencimiento]]="","",I39-G39)</f>
        <v>360</v>
      </c>
    </row>
    <row r="40" spans="1:14" x14ac:dyDescent="0.25">
      <c r="A40" t="s">
        <v>131</v>
      </c>
      <c r="B40">
        <v>36</v>
      </c>
      <c r="C40" t="s">
        <v>17</v>
      </c>
      <c r="E40" s="5" t="s">
        <v>83</v>
      </c>
      <c r="F40" t="s">
        <v>38</v>
      </c>
      <c r="G40" s="1">
        <v>44566</v>
      </c>
      <c r="H40">
        <v>364</v>
      </c>
      <c r="I40" s="4">
        <v>44926</v>
      </c>
      <c r="J40" s="3" t="str">
        <f>IF(Tabla1[[#This Row],[Fecha de Vencimiento]]="","",IF(K40&lt;0,"Vencido hace "&amp;K40*-1&amp;" días",IF(K40=0,"Vence hoy",K40&amp;" dias por Vencer")))</f>
        <v>360 dias por Vencer</v>
      </c>
      <c r="K40" s="3">
        <f>IF(Tabla1[[#This Row],[Fecha de Vencimiento]]="","",I40-G40)</f>
        <v>360</v>
      </c>
    </row>
    <row r="41" spans="1:14" x14ac:dyDescent="0.25">
      <c r="A41" t="s">
        <v>132</v>
      </c>
      <c r="B41">
        <v>37</v>
      </c>
      <c r="C41" t="s">
        <v>17</v>
      </c>
      <c r="E41" s="5" t="s">
        <v>84</v>
      </c>
      <c r="F41" t="s">
        <v>38</v>
      </c>
      <c r="G41" s="1">
        <v>44566</v>
      </c>
      <c r="H41">
        <v>364</v>
      </c>
      <c r="I41" s="4">
        <v>44926</v>
      </c>
      <c r="J41" s="3" t="str">
        <f>IF(Tabla1[[#This Row],[Fecha de Vencimiento]]="","",IF(K41&lt;0,"Vencido hace "&amp;K41*-1&amp;" días",IF(K41=0,"Vence hoy",K41&amp;" dias por Vencer")))</f>
        <v>360 dias por Vencer</v>
      </c>
      <c r="K41" s="3">
        <f>IF(Tabla1[[#This Row],[Fecha de Vencimiento]]="","",I41-G41)</f>
        <v>360</v>
      </c>
    </row>
    <row r="42" spans="1:14" x14ac:dyDescent="0.25">
      <c r="A42" t="s">
        <v>133</v>
      </c>
      <c r="B42">
        <v>38</v>
      </c>
      <c r="C42" t="s">
        <v>17</v>
      </c>
      <c r="E42" s="5" t="s">
        <v>85</v>
      </c>
      <c r="F42" t="s">
        <v>38</v>
      </c>
      <c r="G42" s="1">
        <v>44566</v>
      </c>
      <c r="H42">
        <v>364</v>
      </c>
      <c r="I42" s="4">
        <v>44926</v>
      </c>
      <c r="J42" s="3" t="str">
        <f>IF(Tabla1[[#This Row],[Fecha de Vencimiento]]="","",IF(K42&lt;0,"Vencido hace "&amp;K42*-1&amp;" días",IF(K42=0,"Vence hoy",K42&amp;" dias por Vencer")))</f>
        <v>360 dias por Vencer</v>
      </c>
      <c r="K42" s="3">
        <f>IF(Tabla1[[#This Row],[Fecha de Vencimiento]]="","",I42-G42)</f>
        <v>360</v>
      </c>
    </row>
    <row r="43" spans="1:14" x14ac:dyDescent="0.25">
      <c r="A43" t="s">
        <v>241</v>
      </c>
      <c r="B43">
        <v>39</v>
      </c>
      <c r="C43" t="s">
        <v>17</v>
      </c>
      <c r="E43" s="5" t="s">
        <v>86</v>
      </c>
      <c r="F43" t="s">
        <v>42</v>
      </c>
      <c r="G43" s="1">
        <v>44564</v>
      </c>
      <c r="H43">
        <v>364</v>
      </c>
      <c r="I43" s="4">
        <v>44926</v>
      </c>
      <c r="J43" s="3" t="str">
        <f>IF(Tabla1[[#This Row],[Fecha de Vencimiento]]="","",IF(K43&lt;0,"Vencido hace "&amp;K43*-1&amp;" días",IF(K43=0,"Vence hoy",K43&amp;" dias por Vencer")))</f>
        <v>362 dias por Vencer</v>
      </c>
      <c r="K43" s="3">
        <f>IF(Tabla1[[#This Row],[Fecha de Vencimiento]]="","",I43-G43)</f>
        <v>362</v>
      </c>
    </row>
    <row r="44" spans="1:14" x14ac:dyDescent="0.25">
      <c r="A44" t="s">
        <v>139</v>
      </c>
      <c r="B44">
        <v>40</v>
      </c>
      <c r="C44" t="s">
        <v>17</v>
      </c>
      <c r="E44" s="5" t="s">
        <v>87</v>
      </c>
      <c r="F44" t="s">
        <v>42</v>
      </c>
      <c r="G44" s="1">
        <v>44564</v>
      </c>
      <c r="H44">
        <v>364</v>
      </c>
      <c r="I44" s="4">
        <v>44926</v>
      </c>
      <c r="J44" s="3" t="str">
        <f>IF(Tabla1[[#This Row],[Fecha de Vencimiento]]="","",IF(K44&lt;0,"Vencido hace "&amp;K44*-1&amp;" días",IF(K44=0,"Vence hoy",K44&amp;" dias por Vencer")))</f>
        <v>362 dias por Vencer</v>
      </c>
      <c r="K44" s="3">
        <f>IF(Tabla1[[#This Row],[Fecha de Vencimiento]]="","",I44-G44)</f>
        <v>362</v>
      </c>
    </row>
    <row r="45" spans="1:14" x14ac:dyDescent="0.25">
      <c r="A45" t="s">
        <v>135</v>
      </c>
      <c r="B45">
        <v>41</v>
      </c>
      <c r="C45" t="s">
        <v>17</v>
      </c>
      <c r="E45" s="5" t="s">
        <v>88</v>
      </c>
      <c r="F45" t="s">
        <v>89</v>
      </c>
      <c r="G45" s="1">
        <v>44566</v>
      </c>
      <c r="H45">
        <v>364</v>
      </c>
      <c r="I45" s="4">
        <v>44926</v>
      </c>
      <c r="J45" s="3" t="str">
        <f>IF(Tabla1[[#This Row],[Fecha de Vencimiento]]="","",IF(K45&lt;0,"Vencido hace "&amp;K45*-1&amp;" días",IF(K45=0,"Vence hoy",K45&amp;" dias por Vencer")))</f>
        <v>360 dias por Vencer</v>
      </c>
      <c r="K45" s="3">
        <f>IF(Tabla1[[#This Row],[Fecha de Vencimiento]]="","",I45-G45)</f>
        <v>360</v>
      </c>
      <c r="N45" t="s">
        <v>142</v>
      </c>
    </row>
    <row r="46" spans="1:14" x14ac:dyDescent="0.25">
      <c r="A46" t="s">
        <v>136</v>
      </c>
      <c r="B46">
        <v>42</v>
      </c>
      <c r="C46" t="s">
        <v>17</v>
      </c>
      <c r="E46" s="5" t="s">
        <v>90</v>
      </c>
      <c r="F46" t="s">
        <v>91</v>
      </c>
      <c r="G46" s="1">
        <v>44564</v>
      </c>
      <c r="H46">
        <v>364</v>
      </c>
      <c r="I46" s="4">
        <v>44926</v>
      </c>
      <c r="J46" s="3" t="str">
        <f>IF(Tabla1[[#This Row],[Fecha de Vencimiento]]="","",IF(K46&lt;0,"Vencido hace "&amp;K46*-1&amp;" días",IF(K46=0,"Vence hoy",K46&amp;" dias por Vencer")))</f>
        <v>362 dias por Vencer</v>
      </c>
      <c r="K46" s="3">
        <f>IF(Tabla1[[#This Row],[Fecha de Vencimiento]]="","",I46-G46)</f>
        <v>362</v>
      </c>
    </row>
    <row r="47" spans="1:14" x14ac:dyDescent="0.25">
      <c r="A47" t="s">
        <v>167</v>
      </c>
      <c r="B47">
        <v>43</v>
      </c>
      <c r="C47" t="s">
        <v>50</v>
      </c>
      <c r="E47" s="5" t="s">
        <v>92</v>
      </c>
      <c r="F47" t="s">
        <v>93</v>
      </c>
      <c r="G47" s="1">
        <v>44564</v>
      </c>
      <c r="H47">
        <v>364</v>
      </c>
      <c r="I47" s="4">
        <v>44926</v>
      </c>
      <c r="J47" s="3" t="str">
        <f>IF(Tabla1[[#This Row],[Fecha de Vencimiento]]="","",IF(K47&lt;0,"Vencido hace "&amp;K47*-1&amp;" días",IF(K47=0,"Vence hoy",K47&amp;" dias por Vencer")))</f>
        <v>362 dias por Vencer</v>
      </c>
      <c r="K47" s="3">
        <f>IF(Tabla1[[#This Row],[Fecha de Vencimiento]]="","",I47-G47)</f>
        <v>362</v>
      </c>
    </row>
    <row r="48" spans="1:14" x14ac:dyDescent="0.25">
      <c r="A48" t="s">
        <v>168</v>
      </c>
      <c r="B48">
        <v>44</v>
      </c>
      <c r="C48" t="s">
        <v>50</v>
      </c>
      <c r="E48" s="5" t="s">
        <v>95</v>
      </c>
      <c r="F48" t="s">
        <v>94</v>
      </c>
      <c r="G48" s="1">
        <v>44564</v>
      </c>
      <c r="H48">
        <v>364</v>
      </c>
      <c r="I48" s="4">
        <v>44926</v>
      </c>
      <c r="J48" s="3" t="str">
        <f>IF(Tabla1[[#This Row],[Fecha de Vencimiento]]="","",IF(K48&lt;0,"Vencido hace "&amp;K48*-1&amp;" días",IF(K48=0,"Vence hoy",K48&amp;" dias por Vencer")))</f>
        <v>362 dias por Vencer</v>
      </c>
      <c r="K48" s="3">
        <f>IF(Tabla1[[#This Row],[Fecha de Vencimiento]]="","",I48-G48)</f>
        <v>362</v>
      </c>
    </row>
    <row r="49" spans="1:12" x14ac:dyDescent="0.25">
      <c r="A49" t="s">
        <v>190</v>
      </c>
      <c r="B49">
        <v>45</v>
      </c>
      <c r="C49" t="s">
        <v>70</v>
      </c>
      <c r="E49" s="5" t="s">
        <v>96</v>
      </c>
      <c r="F49" t="s">
        <v>97</v>
      </c>
      <c r="G49" s="1">
        <v>44564</v>
      </c>
      <c r="H49">
        <v>364</v>
      </c>
      <c r="I49" s="4">
        <v>44926</v>
      </c>
      <c r="J49" s="3" t="str">
        <f>IF(Tabla1[[#This Row],[Fecha de Vencimiento]]="","",IF(K49&lt;0,"Vencido hace "&amp;K49*-1&amp;" días",IF(K49=0,"Vence hoy",K49&amp;" dias por Vencer")))</f>
        <v>362 dias por Vencer</v>
      </c>
      <c r="K49" s="3">
        <f>IF(Tabla1[[#This Row],[Fecha de Vencimiento]]="","",I49-G49)</f>
        <v>362</v>
      </c>
    </row>
    <row r="50" spans="1:12" x14ac:dyDescent="0.25">
      <c r="B50">
        <v>46</v>
      </c>
      <c r="C50" t="s">
        <v>70</v>
      </c>
      <c r="E50" s="5" t="s">
        <v>98</v>
      </c>
      <c r="F50" t="s">
        <v>99</v>
      </c>
      <c r="G50" s="1">
        <v>44568</v>
      </c>
      <c r="H50">
        <v>364</v>
      </c>
      <c r="I50" s="4">
        <v>44926</v>
      </c>
      <c r="J50" s="3" t="str">
        <f>IF(Tabla1[[#This Row],[Fecha de Vencimiento]]="","",IF(K50&lt;0,"Vencido hace "&amp;K50*-1&amp;" días",IF(K50=0,"Vence hoy",K50&amp;" dias por Vencer")))</f>
        <v>358 dias por Vencer</v>
      </c>
      <c r="K50" s="3">
        <f>IF(Tabla1[[#This Row],[Fecha de Vencimiento]]="","",I50-G50)</f>
        <v>358</v>
      </c>
    </row>
    <row r="51" spans="1:12" x14ac:dyDescent="0.25">
      <c r="A51" t="s">
        <v>185</v>
      </c>
      <c r="B51">
        <v>47</v>
      </c>
      <c r="C51" t="s">
        <v>70</v>
      </c>
      <c r="E51" s="5" t="s">
        <v>100</v>
      </c>
      <c r="F51" t="s">
        <v>33</v>
      </c>
      <c r="G51" s="1">
        <v>44564</v>
      </c>
      <c r="H51">
        <v>364</v>
      </c>
      <c r="I51" s="4">
        <v>44926</v>
      </c>
      <c r="J51" s="3" t="str">
        <f>IF(Tabla1[[#This Row],[Fecha de Vencimiento]]="","",IF(K51&lt;0,"Vencido hace "&amp;K51*-1&amp;" días",IF(K51=0,"Vence hoy",K51&amp;" dias por Vencer")))</f>
        <v>362 dias por Vencer</v>
      </c>
      <c r="K51" s="3">
        <f>IF(Tabla1[[#This Row],[Fecha de Vencimiento]]="","",I51-G51)</f>
        <v>362</v>
      </c>
    </row>
    <row r="52" spans="1:12" x14ac:dyDescent="0.25">
      <c r="A52" t="s">
        <v>188</v>
      </c>
      <c r="B52">
        <v>48</v>
      </c>
      <c r="C52" t="s">
        <v>70</v>
      </c>
      <c r="E52" s="5" t="s">
        <v>101</v>
      </c>
      <c r="F52" t="s">
        <v>102</v>
      </c>
      <c r="G52" s="1">
        <v>44564</v>
      </c>
      <c r="H52">
        <v>364</v>
      </c>
      <c r="I52" s="4">
        <v>44926</v>
      </c>
      <c r="J52" s="3" t="str">
        <f>IF(Tabla1[[#This Row],[Fecha de Vencimiento]]="","",IF(K52&lt;0,"Vencido hace "&amp;K52*-1&amp;" días",IF(K52=0,"Vence hoy",K52&amp;" dias por Vencer")))</f>
        <v>362 dias por Vencer</v>
      </c>
      <c r="K52" s="3">
        <f>IF(Tabla1[[#This Row],[Fecha de Vencimiento]]="","",I52-G52)</f>
        <v>362</v>
      </c>
    </row>
    <row r="53" spans="1:12" x14ac:dyDescent="0.25">
      <c r="A53" t="s">
        <v>169</v>
      </c>
      <c r="B53">
        <v>49</v>
      </c>
      <c r="C53" t="s">
        <v>50</v>
      </c>
      <c r="E53" s="5" t="s">
        <v>103</v>
      </c>
      <c r="F53" t="s">
        <v>106</v>
      </c>
      <c r="G53" s="1">
        <v>44562</v>
      </c>
      <c r="H53">
        <v>364</v>
      </c>
      <c r="I53" s="4">
        <f>IF(Tabla1[[#This Row],[Fecha]]="","",G53+H53)</f>
        <v>44926</v>
      </c>
      <c r="J53" s="3" t="str">
        <f>IF(Tabla1[[#This Row],[Fecha de Vencimiento]]="","",IF(K53&lt;0,"Vencido hace "&amp;K53*-1&amp;" días",IF(K53=0,"Vence hoy",K53&amp;" dias por Vencer")))</f>
        <v>364 dias por Vencer</v>
      </c>
      <c r="K53" s="3">
        <f>IF(Tabla1[[#This Row],[Fecha de Vencimiento]]="","",I53-G53)</f>
        <v>364</v>
      </c>
    </row>
    <row r="54" spans="1:12" x14ac:dyDescent="0.25">
      <c r="A54" t="s">
        <v>170</v>
      </c>
      <c r="B54">
        <v>50</v>
      </c>
      <c r="C54" t="s">
        <v>50</v>
      </c>
      <c r="E54" s="5" t="s">
        <v>105</v>
      </c>
      <c r="F54" t="s">
        <v>106</v>
      </c>
      <c r="G54" s="1">
        <v>44564</v>
      </c>
      <c r="H54">
        <v>364</v>
      </c>
      <c r="I54" s="4">
        <v>44926</v>
      </c>
      <c r="J54" s="3" t="str">
        <f>IF(Tabla1[[#This Row],[Fecha de Vencimiento]]="","",IF(K54&lt;0,"Vencido hace "&amp;K54*-1&amp;" días",IF(K54=0,"Vence hoy",K54&amp;" dias por Vencer")))</f>
        <v>362 dias por Vencer</v>
      </c>
      <c r="K54" s="3">
        <f>IF(Tabla1[[#This Row],[Fecha de Vencimiento]]="","",I54-G54)</f>
        <v>362</v>
      </c>
    </row>
    <row r="55" spans="1:12" x14ac:dyDescent="0.25">
      <c r="A55" t="s">
        <v>171</v>
      </c>
      <c r="B55">
        <v>51</v>
      </c>
      <c r="C55" t="s">
        <v>50</v>
      </c>
      <c r="E55" s="5" t="s">
        <v>104</v>
      </c>
      <c r="F55" t="s">
        <v>106</v>
      </c>
      <c r="G55" s="1">
        <v>44564</v>
      </c>
      <c r="H55">
        <v>364</v>
      </c>
      <c r="I55" s="4">
        <v>44926</v>
      </c>
      <c r="J55" s="3" t="str">
        <f>IF(Tabla1[[#This Row],[Fecha de Vencimiento]]="","",IF(K55&lt;0,"Vencido hace "&amp;K55*-1&amp;" días",IF(K55=0,"Vence hoy",K55&amp;" dias por Vencer")))</f>
        <v>362 dias por Vencer</v>
      </c>
      <c r="K55" s="3">
        <f>IF(Tabla1[[#This Row],[Fecha de Vencimiento]]="","",I55-G55)</f>
        <v>362</v>
      </c>
    </row>
    <row r="56" spans="1:12" x14ac:dyDescent="0.25">
      <c r="A56" t="s">
        <v>189</v>
      </c>
      <c r="B56">
        <v>52</v>
      </c>
      <c r="C56" t="s">
        <v>70</v>
      </c>
      <c r="E56" t="s">
        <v>107</v>
      </c>
      <c r="F56" t="s">
        <v>33</v>
      </c>
      <c r="G56" s="1">
        <v>44564</v>
      </c>
      <c r="H56">
        <v>364</v>
      </c>
      <c r="I56" s="4">
        <v>44926</v>
      </c>
      <c r="J56" s="3" t="str">
        <f>IF(Tabla1[[#This Row],[Fecha de Vencimiento]]="","",IF(K56&lt;0,"Vencido hace "&amp;K56*-1&amp;" días",IF(K56=0,"Vence hoy",K56&amp;" dias por Vencer")))</f>
        <v>362 dias por Vencer</v>
      </c>
      <c r="K56" s="3">
        <f>IF(Tabla1[[#This Row],[Fecha de Vencimiento]]="","",I56-G56)</f>
        <v>362</v>
      </c>
    </row>
    <row r="57" spans="1:12" x14ac:dyDescent="0.25">
      <c r="A57" t="s">
        <v>184</v>
      </c>
      <c r="B57">
        <v>53</v>
      </c>
      <c r="C57" t="s">
        <v>50</v>
      </c>
      <c r="E57" t="s">
        <v>108</v>
      </c>
      <c r="F57" t="s">
        <v>109</v>
      </c>
      <c r="G57" s="1">
        <v>44562</v>
      </c>
      <c r="H57">
        <v>364</v>
      </c>
      <c r="I57" s="4">
        <f>IF(Tabla1[[#This Row],[Fecha]]="","",G57+H57)</f>
        <v>44926</v>
      </c>
      <c r="J57" s="3" t="str">
        <f>IF(Tabla1[[#This Row],[Fecha de Vencimiento]]="","",IF(K57&lt;0,"Vencido hace "&amp;K57*-1&amp;" días",IF(K57=0,"Vence hoy",K57&amp;" dias por Vencer")))</f>
        <v>364 dias por Vencer</v>
      </c>
      <c r="K57" s="3">
        <f>IF(Tabla1[[#This Row],[Fecha de Vencimiento]]="","",I57-G57)</f>
        <v>364</v>
      </c>
    </row>
    <row r="58" spans="1:12" x14ac:dyDescent="0.25">
      <c r="A58" t="s">
        <v>182</v>
      </c>
      <c r="B58">
        <v>54</v>
      </c>
      <c r="C58" t="s">
        <v>50</v>
      </c>
      <c r="E58" t="s">
        <v>110</v>
      </c>
      <c r="F58" t="s">
        <v>109</v>
      </c>
      <c r="G58" s="1">
        <v>44562</v>
      </c>
      <c r="H58">
        <v>364</v>
      </c>
      <c r="I58" s="4">
        <f>IF(Tabla1[[#This Row],[Fecha]]="","",G58+H58)</f>
        <v>44926</v>
      </c>
      <c r="J58" s="3" t="str">
        <f>IF(Tabla1[[#This Row],[Fecha de Vencimiento]]="","",IF(K58&lt;0,"Vencido hace "&amp;K58*-1&amp;" días",IF(K58=0,"Vence hoy",K58&amp;" dias por Vencer")))</f>
        <v>364 dias por Vencer</v>
      </c>
      <c r="K58" s="3">
        <f>IF(Tabla1[[#This Row],[Fecha de Vencimiento]]="","",I58-G58)</f>
        <v>364</v>
      </c>
    </row>
    <row r="59" spans="1:12" x14ac:dyDescent="0.25">
      <c r="A59" t="s">
        <v>174</v>
      </c>
      <c r="B59">
        <v>55</v>
      </c>
      <c r="C59" t="s">
        <v>50</v>
      </c>
      <c r="E59" t="s">
        <v>111</v>
      </c>
      <c r="F59" t="s">
        <v>60</v>
      </c>
      <c r="G59" s="1">
        <v>44564</v>
      </c>
      <c r="H59">
        <v>364</v>
      </c>
      <c r="I59" s="4">
        <v>44926</v>
      </c>
      <c r="J59" s="3" t="str">
        <f>IF(Tabla1[[#This Row],[Fecha de Vencimiento]]="","",IF(K59&lt;0,"Vencido hace "&amp;K59*-1&amp;" días",IF(K59=0,"Vence hoy",K59&amp;" dias por Vencer")))</f>
        <v>362 dias por Vencer</v>
      </c>
      <c r="K59" s="3">
        <f>IF(Tabla1[[#This Row],[Fecha de Vencimiento]]="","",I59-G59)</f>
        <v>362</v>
      </c>
    </row>
    <row r="60" spans="1:12" x14ac:dyDescent="0.25">
      <c r="A60" t="s">
        <v>183</v>
      </c>
      <c r="B60">
        <v>56</v>
      </c>
      <c r="C60" t="s">
        <v>50</v>
      </c>
      <c r="E60" t="s">
        <v>112</v>
      </c>
      <c r="F60" t="s">
        <v>109</v>
      </c>
      <c r="G60" s="1">
        <v>44562</v>
      </c>
      <c r="H60">
        <v>364</v>
      </c>
      <c r="I60" s="4">
        <f>IF(Tabla1[[#This Row],[Fecha]]="","",G60+H60)</f>
        <v>44926</v>
      </c>
      <c r="J60" s="3" t="str">
        <f>IF(Tabla1[[#This Row],[Fecha de Vencimiento]]="","",IF(K60&lt;0,"Vencido hace "&amp;K60*-1&amp;" días",IF(K60=0,"Vence hoy",K60&amp;" dias por Vencer")))</f>
        <v>364 dias por Vencer</v>
      </c>
      <c r="K60" s="3">
        <f>IF(Tabla1[[#This Row],[Fecha de Vencimiento]]="","",I60-G60)</f>
        <v>364</v>
      </c>
    </row>
    <row r="61" spans="1:12" x14ac:dyDescent="0.25">
      <c r="A61" t="s">
        <v>117</v>
      </c>
      <c r="B61">
        <v>57</v>
      </c>
      <c r="C61" t="s">
        <v>113</v>
      </c>
      <c r="E61" t="s">
        <v>114</v>
      </c>
      <c r="F61" t="s">
        <v>115</v>
      </c>
      <c r="G61" s="1">
        <v>44665</v>
      </c>
      <c r="H61">
        <v>364</v>
      </c>
      <c r="I61" s="4">
        <v>44926</v>
      </c>
      <c r="J61" s="3" t="str">
        <f>IF(Tabla1[[#This Row],[Fecha de Vencimiento]]="","",IF(K61&lt;0,"Vencido hace "&amp;K61*-1&amp;" días",IF(K61=0,"Vence hoy",K61&amp;" dias por Vencer")))</f>
        <v>261 dias por Vencer</v>
      </c>
      <c r="K61" s="3">
        <f>IF(Tabla1[[#This Row],[Fecha de Vencimiento]]="","",I61-G61)</f>
        <v>261</v>
      </c>
      <c r="L61" t="s">
        <v>121</v>
      </c>
    </row>
    <row r="62" spans="1:12" x14ac:dyDescent="0.25">
      <c r="A62" t="s">
        <v>122</v>
      </c>
      <c r="B62">
        <v>58</v>
      </c>
      <c r="C62" t="s">
        <v>17</v>
      </c>
      <c r="E62" t="s">
        <v>119</v>
      </c>
      <c r="F62" t="s">
        <v>120</v>
      </c>
      <c r="G62" s="1">
        <v>44671</v>
      </c>
      <c r="H62">
        <v>364</v>
      </c>
      <c r="I62" s="4">
        <v>44926</v>
      </c>
      <c r="J62" s="3" t="str">
        <f>IF(Tabla1[[#This Row],[Fecha de Vencimiento]]="","",IF(K62&lt;0,"Vencido hace "&amp;K62*-1&amp;" días",IF(K62=0,"Vence hoy",K62&amp;" dias por Vencer")))</f>
        <v>255 dias por Vencer</v>
      </c>
      <c r="K62" s="3">
        <f>IF(Tabla1[[#This Row],[Fecha de Vencimiento]]="","",I62-G62)</f>
        <v>255</v>
      </c>
      <c r="L62" t="s">
        <v>121</v>
      </c>
    </row>
    <row r="63" spans="1:12" x14ac:dyDescent="0.25">
      <c r="A63" t="s">
        <v>124</v>
      </c>
      <c r="B63">
        <v>59</v>
      </c>
      <c r="C63" t="s">
        <v>17</v>
      </c>
      <c r="E63" t="s">
        <v>123</v>
      </c>
      <c r="F63" t="s">
        <v>120</v>
      </c>
      <c r="G63" s="1">
        <v>44686</v>
      </c>
      <c r="H63">
        <v>364</v>
      </c>
      <c r="I63" s="4">
        <v>44926</v>
      </c>
      <c r="J63" s="3" t="str">
        <f>IF(Tabla1[[#This Row],[Fecha de Vencimiento]]="","",IF(K63&lt;0,"Vencido hace "&amp;K63*-1&amp;" días",IF(K63=0,"Vence hoy",K63&amp;" dias por Vencer")))</f>
        <v>240 dias por Vencer</v>
      </c>
      <c r="K63" s="3">
        <f>IF(Tabla1[[#This Row],[Fecha de Vencimiento]]="","",I63-G63)</f>
        <v>240</v>
      </c>
      <c r="L63" t="s">
        <v>121</v>
      </c>
    </row>
    <row r="64" spans="1:12" x14ac:dyDescent="0.25">
      <c r="A64" t="s">
        <v>127</v>
      </c>
      <c r="B64">
        <v>60</v>
      </c>
      <c r="C64" t="s">
        <v>70</v>
      </c>
      <c r="E64" t="s">
        <v>125</v>
      </c>
      <c r="F64" t="s">
        <v>126</v>
      </c>
      <c r="G64" s="1">
        <v>44688</v>
      </c>
      <c r="H64">
        <v>364</v>
      </c>
      <c r="I64" s="4">
        <v>44926</v>
      </c>
      <c r="J64" s="3" t="str">
        <f>IF(Tabla1[[#This Row],[Fecha de Vencimiento]]="","",IF(K64&lt;0,"Vencido hace "&amp;K64*-1&amp;" días",IF(K64=0,"Vence hoy",K64&amp;" dias por Vencer")))</f>
        <v>238 dias por Vencer</v>
      </c>
      <c r="K64" s="3">
        <f>IF(Tabla1[[#This Row],[Fecha de Vencimiento]]="","",I64-G64)</f>
        <v>238</v>
      </c>
      <c r="L64" t="s">
        <v>121</v>
      </c>
    </row>
    <row r="65" spans="1:12" x14ac:dyDescent="0.25">
      <c r="B65">
        <v>61</v>
      </c>
      <c r="C65" t="s">
        <v>129</v>
      </c>
      <c r="E65" t="s">
        <v>128</v>
      </c>
      <c r="F65" t="s">
        <v>130</v>
      </c>
      <c r="G65" s="1">
        <v>44622</v>
      </c>
      <c r="H65">
        <v>364</v>
      </c>
      <c r="I65" s="4">
        <v>44926</v>
      </c>
      <c r="J65" s="3" t="str">
        <f>IF(Tabla1[[#This Row],[Fecha de Vencimiento]]="","",IF(K65&lt;0,"Vencido hace "&amp;K65*-1&amp;" días",IF(K65=0,"Vence hoy",K65&amp;" dias por Vencer")))</f>
        <v>304 dias por Vencer</v>
      </c>
      <c r="K65" s="3">
        <f>IF(Tabla1[[#This Row],[Fecha de Vencimiento]]="","",I65-G65)</f>
        <v>304</v>
      </c>
    </row>
    <row r="66" spans="1:12" x14ac:dyDescent="0.25">
      <c r="A66" t="s">
        <v>164</v>
      </c>
      <c r="B66">
        <v>62</v>
      </c>
      <c r="C66" t="s">
        <v>70</v>
      </c>
      <c r="E66" t="s">
        <v>162</v>
      </c>
      <c r="F66" t="s">
        <v>163</v>
      </c>
      <c r="G66" s="1">
        <v>44699</v>
      </c>
      <c r="H66">
        <v>364</v>
      </c>
      <c r="I66" s="4">
        <v>44926</v>
      </c>
      <c r="J66" s="3" t="str">
        <f>IF(Tabla1[[#This Row],[Fecha de Vencimiento]]="","",IF(K66&lt;0,"Vencido hace "&amp;K66*-1&amp;" días",IF(K66=0,"Vence hoy",K66&amp;" dias por Vencer")))</f>
        <v>227 dias por Vencer</v>
      </c>
      <c r="K66" s="3">
        <f>IF(Tabla1[[#This Row],[Fecha de Vencimiento]]="","",I66-G66)</f>
        <v>227</v>
      </c>
      <c r="L66" t="s">
        <v>121</v>
      </c>
    </row>
    <row r="67" spans="1:12" x14ac:dyDescent="0.25">
      <c r="A67" t="s">
        <v>173</v>
      </c>
      <c r="B67">
        <v>63</v>
      </c>
      <c r="C67" t="s">
        <v>17</v>
      </c>
      <c r="E67" t="s">
        <v>172</v>
      </c>
      <c r="F67" t="s">
        <v>42</v>
      </c>
      <c r="G67" s="1">
        <v>44692</v>
      </c>
      <c r="H67">
        <v>364</v>
      </c>
      <c r="I67" s="4">
        <v>44926</v>
      </c>
      <c r="J67" s="3" t="str">
        <f>IF(Tabla1[[#This Row],[Fecha de Vencimiento]]="","",IF(K67&lt;0,"Vencido hace "&amp;K67*-1&amp;" días",IF(K67=0,"Vence hoy",K67&amp;" dias por Vencer")))</f>
        <v>234 dias por Vencer</v>
      </c>
      <c r="K67" s="3">
        <f>IF(Tabla1[[#This Row],[Fecha de Vencimiento]]="","",I67-G67)</f>
        <v>234</v>
      </c>
    </row>
    <row r="68" spans="1:12" x14ac:dyDescent="0.25">
      <c r="A68" t="s">
        <v>181</v>
      </c>
      <c r="B68">
        <v>64</v>
      </c>
      <c r="C68" t="s">
        <v>175</v>
      </c>
      <c r="E68" t="s">
        <v>176</v>
      </c>
      <c r="F68" t="s">
        <v>177</v>
      </c>
      <c r="G68" s="1">
        <v>44567</v>
      </c>
      <c r="H68">
        <v>364</v>
      </c>
      <c r="I68" s="4">
        <v>44926</v>
      </c>
      <c r="J68" s="3" t="str">
        <f>IF(Tabla1[[#This Row],[Fecha de Vencimiento]]="","",IF(K68&lt;0,"Vencido hace "&amp;K68*-1&amp;" días",IF(K68=0,"Vence hoy",K68&amp;" dias por Vencer")))</f>
        <v>359 dias por Vencer</v>
      </c>
      <c r="K68" s="3">
        <f>IF(Tabla1[[#This Row],[Fecha de Vencimiento]]="","",I68-G68)</f>
        <v>359</v>
      </c>
    </row>
    <row r="69" spans="1:12" x14ac:dyDescent="0.25">
      <c r="A69" t="s">
        <v>180</v>
      </c>
      <c r="B69">
        <v>65</v>
      </c>
      <c r="C69" t="s">
        <v>70</v>
      </c>
      <c r="E69" t="s">
        <v>178</v>
      </c>
      <c r="F69" t="s">
        <v>179</v>
      </c>
      <c r="G69" s="1">
        <v>44706</v>
      </c>
      <c r="H69">
        <v>364</v>
      </c>
      <c r="I69" s="4">
        <v>44926</v>
      </c>
      <c r="J69" s="3" t="str">
        <f>IF(Tabla1[[#This Row],[Fecha de Vencimiento]]="","",IF(K69&lt;0,"Vencido hace "&amp;K69*-1&amp;" días",IF(K69=0,"Vence hoy",K69&amp;" dias por Vencer")))</f>
        <v>220 dias por Vencer</v>
      </c>
      <c r="K69" s="3">
        <f>IF(Tabla1[[#This Row],[Fecha de Vencimiento]]="","",I69-G69)</f>
        <v>220</v>
      </c>
    </row>
    <row r="70" spans="1:12" x14ac:dyDescent="0.25">
      <c r="A70" t="s">
        <v>193</v>
      </c>
      <c r="B70">
        <v>66</v>
      </c>
      <c r="C70" t="s">
        <v>50</v>
      </c>
      <c r="E70" t="s">
        <v>192</v>
      </c>
      <c r="F70" t="s">
        <v>58</v>
      </c>
      <c r="G70" s="1">
        <v>44566</v>
      </c>
      <c r="H70">
        <v>364</v>
      </c>
      <c r="I70" s="4">
        <v>44926</v>
      </c>
      <c r="J70" s="3" t="str">
        <f>IF(Tabla1[[#This Row],[Fecha de Vencimiento]]="","",IF(K70&lt;0,"Vencido hace "&amp;K70*-1&amp;" días",IF(K70=0,"Vence hoy",K70&amp;" dias por Vencer")))</f>
        <v>360 dias por Vencer</v>
      </c>
      <c r="K70" s="3">
        <f>IF(Tabla1[[#This Row],[Fecha de Vencimiento]]="","",I70-G70)</f>
        <v>360</v>
      </c>
    </row>
    <row r="71" spans="1:12" x14ac:dyDescent="0.25">
      <c r="A71" t="s">
        <v>195</v>
      </c>
      <c r="B71">
        <v>67</v>
      </c>
      <c r="C71" t="s">
        <v>50</v>
      </c>
      <c r="E71" t="s">
        <v>194</v>
      </c>
      <c r="F71" t="s">
        <v>58</v>
      </c>
      <c r="G71" s="1">
        <v>44564</v>
      </c>
      <c r="H71">
        <v>364</v>
      </c>
      <c r="I71" s="4">
        <v>44926</v>
      </c>
      <c r="J71" s="3" t="str">
        <f>IF(Tabla1[[#This Row],[Fecha de Vencimiento]]="","",IF(K71&lt;0,"Vencido hace "&amp;K71*-1&amp;" días",IF(K71=0,"Vence hoy",K71&amp;" dias por Vencer")))</f>
        <v>362 dias por Vencer</v>
      </c>
      <c r="K71" s="3">
        <f>IF(Tabla1[[#This Row],[Fecha de Vencimiento]]="","",I71-G71)</f>
        <v>362</v>
      </c>
    </row>
    <row r="72" spans="1:12" x14ac:dyDescent="0.25">
      <c r="A72" t="s">
        <v>198</v>
      </c>
      <c r="B72">
        <v>68</v>
      </c>
      <c r="C72" t="s">
        <v>50</v>
      </c>
      <c r="E72" t="s">
        <v>196</v>
      </c>
      <c r="F72" t="s">
        <v>197</v>
      </c>
      <c r="G72" s="1">
        <v>44562</v>
      </c>
      <c r="H72">
        <v>364</v>
      </c>
      <c r="I72" s="4">
        <f>IF(Tabla1[[#This Row],[Fecha]]="","",G72+H72)</f>
        <v>44926</v>
      </c>
      <c r="J72" s="3" t="str">
        <f>IF(Tabla1[[#This Row],[Fecha de Vencimiento]]="","",IF(K72&lt;0,"Vencido hace "&amp;K72*-1&amp;" días",IF(K72=0,"Vence hoy",K72&amp;" dias por Vencer")))</f>
        <v>364 dias por Vencer</v>
      </c>
      <c r="K72" s="3">
        <f>IF(Tabla1[[#This Row],[Fecha de Vencimiento]]="","",I72-G72)</f>
        <v>364</v>
      </c>
    </row>
    <row r="73" spans="1:12" x14ac:dyDescent="0.25">
      <c r="A73" t="s">
        <v>201</v>
      </c>
      <c r="B73">
        <v>69</v>
      </c>
      <c r="C73" t="s">
        <v>17</v>
      </c>
      <c r="E73" t="s">
        <v>199</v>
      </c>
      <c r="F73" t="s">
        <v>200</v>
      </c>
      <c r="G73" s="1">
        <v>44566</v>
      </c>
      <c r="H73">
        <v>364</v>
      </c>
      <c r="I73" s="4">
        <v>44926</v>
      </c>
      <c r="J73" s="3" t="str">
        <f>IF(Tabla1[[#This Row],[Fecha de Vencimiento]]="","",IF(K73&lt;0,"Vencido hace "&amp;K73*-1&amp;" días",IF(K73=0,"Vence hoy",K73&amp;" dias por Vencer")))</f>
        <v>360 dias por Vencer</v>
      </c>
      <c r="K73" s="3">
        <f>IF(Tabla1[[#This Row],[Fecha de Vencimiento]]="","",I73-G73)</f>
        <v>360</v>
      </c>
    </row>
    <row r="74" spans="1:12" x14ac:dyDescent="0.25">
      <c r="A74" t="s">
        <v>203</v>
      </c>
      <c r="B74">
        <v>70</v>
      </c>
      <c r="C74" t="s">
        <v>67</v>
      </c>
      <c r="E74" t="s">
        <v>204</v>
      </c>
      <c r="F74" t="s">
        <v>205</v>
      </c>
      <c r="G74" s="1">
        <v>44564</v>
      </c>
      <c r="H74">
        <v>364</v>
      </c>
      <c r="I74" s="4">
        <v>44926</v>
      </c>
      <c r="J74" s="3" t="str">
        <f>IF(Tabla1[[#This Row],[Fecha de Vencimiento]]="","",IF(K74&lt;0,"Vencido hace "&amp;K74*-1&amp;" días",IF(K74=0,"Vence hoy",K74&amp;" dias por Vencer")))</f>
        <v>362 dias por Vencer</v>
      </c>
      <c r="K74" s="3">
        <f>IF(Tabla1[[#This Row],[Fecha de Vencimiento]]="","",I74-G74)</f>
        <v>362</v>
      </c>
    </row>
    <row r="75" spans="1:12" x14ac:dyDescent="0.25">
      <c r="B75">
        <v>71</v>
      </c>
      <c r="C75" t="s">
        <v>175</v>
      </c>
      <c r="E75" t="s">
        <v>206</v>
      </c>
      <c r="F75" t="s">
        <v>197</v>
      </c>
      <c r="G75" s="1">
        <v>44564</v>
      </c>
      <c r="H75">
        <v>364</v>
      </c>
      <c r="I75" s="4">
        <v>44926</v>
      </c>
      <c r="J75" s="3" t="str">
        <f>IF(Tabla1[[#This Row],[Fecha de Vencimiento]]="","",IF(K75&lt;0,"Vencido hace "&amp;K75*-1&amp;" días",IF(K75=0,"Vence hoy",K75&amp;" dias por Vencer")))</f>
        <v>362 dias por Vencer</v>
      </c>
      <c r="K75" s="3">
        <f>IF(Tabla1[[#This Row],[Fecha de Vencimiento]]="","",I75-G75)</f>
        <v>362</v>
      </c>
    </row>
    <row r="76" spans="1:12" x14ac:dyDescent="0.25">
      <c r="A76" t="s">
        <v>209</v>
      </c>
      <c r="B76">
        <v>72</v>
      </c>
      <c r="C76" t="s">
        <v>70</v>
      </c>
      <c r="E76" t="s">
        <v>207</v>
      </c>
      <c r="F76" t="s">
        <v>208</v>
      </c>
      <c r="G76" s="1">
        <v>44571</v>
      </c>
      <c r="H76">
        <v>364</v>
      </c>
      <c r="I76" s="4">
        <v>44926</v>
      </c>
      <c r="J76" s="3" t="str">
        <f>IF(Tabla1[[#This Row],[Fecha de Vencimiento]]="","",IF(K76&lt;0,"Vencido hace "&amp;K76*-1&amp;" días",IF(K76=0,"Vence hoy",K76&amp;" dias por Vencer")))</f>
        <v>355 dias por Vencer</v>
      </c>
      <c r="K76" s="3">
        <f>IF(Tabla1[[#This Row],[Fecha de Vencimiento]]="","",I76-G76)</f>
        <v>355</v>
      </c>
    </row>
    <row r="77" spans="1:12" x14ac:dyDescent="0.25">
      <c r="A77" t="s">
        <v>211</v>
      </c>
      <c r="B77">
        <v>73</v>
      </c>
      <c r="C77" t="s">
        <v>70</v>
      </c>
      <c r="E77" t="s">
        <v>210</v>
      </c>
      <c r="F77" t="s">
        <v>33</v>
      </c>
      <c r="G77" s="1">
        <v>44715</v>
      </c>
      <c r="H77">
        <v>364</v>
      </c>
      <c r="I77" s="4">
        <v>44926</v>
      </c>
      <c r="J77" s="3" t="str">
        <f>IF(Tabla1[[#This Row],[Fecha de Vencimiento]]="","",IF(K77&lt;0,"Vencido hace "&amp;K77*-1&amp;" días",IF(K77=0,"Vence hoy",K77&amp;" dias por Vencer")))</f>
        <v>211 dias por Vencer</v>
      </c>
      <c r="K77" s="3">
        <f>IF(Tabla1[[#This Row],[Fecha de Vencimiento]]="","",I77-G77)</f>
        <v>211</v>
      </c>
    </row>
    <row r="78" spans="1:12" x14ac:dyDescent="0.25">
      <c r="A78" t="s">
        <v>215</v>
      </c>
      <c r="B78">
        <v>74</v>
      </c>
      <c r="C78" t="s">
        <v>70</v>
      </c>
      <c r="E78" t="s">
        <v>214</v>
      </c>
      <c r="F78" t="s">
        <v>216</v>
      </c>
      <c r="G78" s="1">
        <v>44567</v>
      </c>
      <c r="H78">
        <v>364</v>
      </c>
      <c r="I78" s="4">
        <v>44926</v>
      </c>
      <c r="J78" s="3" t="str">
        <f>IF(Tabla1[[#This Row],[Fecha de Vencimiento]]="","",IF(K78&lt;0,"Vencido hace "&amp;K78*-1&amp;" días",IF(K78=0,"Vence hoy",K78&amp;" dias por Vencer")))</f>
        <v>359 dias por Vencer</v>
      </c>
      <c r="K78" s="3">
        <f>IF(Tabla1[[#This Row],[Fecha de Vencimiento]]="","",I78-G78)</f>
        <v>359</v>
      </c>
    </row>
    <row r="79" spans="1:12" x14ac:dyDescent="0.25">
      <c r="A79" t="s">
        <v>218</v>
      </c>
      <c r="B79">
        <v>75</v>
      </c>
      <c r="C79" t="s">
        <v>70</v>
      </c>
      <c r="E79" t="s">
        <v>217</v>
      </c>
      <c r="F79" t="s">
        <v>216</v>
      </c>
      <c r="G79" s="1">
        <v>44562</v>
      </c>
      <c r="H79">
        <v>364</v>
      </c>
      <c r="I79" s="4">
        <f>IF(Tabla1[[#This Row],[Fecha]]="","",G79+H79)</f>
        <v>44926</v>
      </c>
      <c r="J79" s="3" t="str">
        <f>IF(Tabla1[[#This Row],[Fecha de Vencimiento]]="","",IF(K79&lt;0,"Vencido hace "&amp;K79*-1&amp;" días",IF(K79=0,"Vence hoy",K79&amp;" dias por Vencer")))</f>
        <v>364 dias por Vencer</v>
      </c>
      <c r="K79" s="3">
        <f>IF(Tabla1[[#This Row],[Fecha de Vencimiento]]="","",I79-G79)</f>
        <v>364</v>
      </c>
    </row>
    <row r="80" spans="1:12" x14ac:dyDescent="0.25">
      <c r="A80" t="s">
        <v>220</v>
      </c>
      <c r="B80">
        <v>76</v>
      </c>
      <c r="C80" t="s">
        <v>70</v>
      </c>
      <c r="E80" t="s">
        <v>219</v>
      </c>
      <c r="F80" t="s">
        <v>216</v>
      </c>
      <c r="G80" s="1">
        <v>44567</v>
      </c>
      <c r="H80">
        <v>364</v>
      </c>
      <c r="I80" s="4">
        <v>44926</v>
      </c>
      <c r="J80" s="3" t="str">
        <f>IF(Tabla1[[#This Row],[Fecha de Vencimiento]]="","",IF(K80&lt;0,"Vencido hace "&amp;K80*-1&amp;" días",IF(K80=0,"Vence hoy",K80&amp;" dias por Vencer")))</f>
        <v>359 dias por Vencer</v>
      </c>
      <c r="K80" s="3">
        <f>IF(Tabla1[[#This Row],[Fecha de Vencimiento]]="","",I80-G80)</f>
        <v>359</v>
      </c>
    </row>
    <row r="81" spans="1:11" x14ac:dyDescent="0.25">
      <c r="A81" t="s">
        <v>222</v>
      </c>
      <c r="B81">
        <v>77</v>
      </c>
      <c r="C81" t="s">
        <v>70</v>
      </c>
      <c r="E81" t="s">
        <v>221</v>
      </c>
      <c r="F81" t="s">
        <v>216</v>
      </c>
      <c r="G81" s="1">
        <v>44564</v>
      </c>
      <c r="H81">
        <v>364</v>
      </c>
      <c r="I81" s="4">
        <v>44926</v>
      </c>
      <c r="J81" s="3" t="str">
        <f>IF(Tabla1[[#This Row],[Fecha de Vencimiento]]="","",IF(K81&lt;0,"Vencido hace "&amp;K81*-1&amp;" días",IF(K81=0,"Vence hoy",K81&amp;" dias por Vencer")))</f>
        <v>362 dias por Vencer</v>
      </c>
      <c r="K81" s="3">
        <f>IF(Tabla1[[#This Row],[Fecha de Vencimiento]]="","",I81-G81)</f>
        <v>362</v>
      </c>
    </row>
    <row r="82" spans="1:11" x14ac:dyDescent="0.25">
      <c r="A82" t="s">
        <v>227</v>
      </c>
      <c r="B82">
        <v>78</v>
      </c>
      <c r="C82" t="s">
        <v>70</v>
      </c>
      <c r="E82" t="s">
        <v>226</v>
      </c>
      <c r="F82" t="s">
        <v>216</v>
      </c>
      <c r="G82" s="1">
        <v>44564</v>
      </c>
      <c r="H82">
        <v>364</v>
      </c>
      <c r="I82" s="4">
        <v>44926</v>
      </c>
      <c r="J82" s="3" t="str">
        <f>IF(Tabla1[[#This Row],[Fecha de Vencimiento]]="","",IF(K82&lt;0,"Vencido hace "&amp;K82*-1&amp;" días",IF(K82=0,"Vence hoy",K82&amp;" dias por Vencer")))</f>
        <v>362 dias por Vencer</v>
      </c>
      <c r="K82" s="3">
        <f>IF(Tabla1[[#This Row],[Fecha de Vencimiento]]="","",I82-G82)</f>
        <v>362</v>
      </c>
    </row>
    <row r="83" spans="1:11" x14ac:dyDescent="0.25">
      <c r="A83" t="s">
        <v>230</v>
      </c>
      <c r="B83">
        <v>79</v>
      </c>
      <c r="C83" t="s">
        <v>70</v>
      </c>
      <c r="E83" t="s">
        <v>228</v>
      </c>
      <c r="F83" t="s">
        <v>216</v>
      </c>
      <c r="G83" s="1">
        <v>44564</v>
      </c>
      <c r="H83">
        <v>364</v>
      </c>
      <c r="I83" s="4">
        <v>44926</v>
      </c>
      <c r="J83" s="3" t="str">
        <f>IF(Tabla1[[#This Row],[Fecha de Vencimiento]]="","",IF(K83&lt;0,"Vencido hace "&amp;K83*-1&amp;" días",IF(K83=0,"Vence hoy",K83&amp;" dias por Vencer")))</f>
        <v>362 dias por Vencer</v>
      </c>
      <c r="K83" s="3">
        <f>IF(Tabla1[[#This Row],[Fecha de Vencimiento]]="","",I83-G83)</f>
        <v>362</v>
      </c>
    </row>
    <row r="84" spans="1:11" x14ac:dyDescent="0.25">
      <c r="A84" t="s">
        <v>231</v>
      </c>
      <c r="B84">
        <v>80</v>
      </c>
      <c r="C84" t="s">
        <v>70</v>
      </c>
      <c r="E84" t="s">
        <v>229</v>
      </c>
      <c r="F84" t="s">
        <v>216</v>
      </c>
      <c r="G84" s="1">
        <v>44564</v>
      </c>
      <c r="H84">
        <v>364</v>
      </c>
      <c r="I84" s="4">
        <v>44926</v>
      </c>
      <c r="J84" s="3" t="str">
        <f>IF(Tabla1[[#This Row],[Fecha de Vencimiento]]="","",IF(K84&lt;0,"Vencido hace "&amp;K84*-1&amp;" días",IF(K84=0,"Vence hoy",K84&amp;" dias por Vencer")))</f>
        <v>362 dias por Vencer</v>
      </c>
      <c r="K84" s="3">
        <f>IF(Tabla1[[#This Row],[Fecha de Vencimiento]]="","",I84-G84)</f>
        <v>362</v>
      </c>
    </row>
    <row r="85" spans="1:11" x14ac:dyDescent="0.25">
      <c r="A85" t="s">
        <v>233</v>
      </c>
      <c r="B85">
        <v>81</v>
      </c>
      <c r="C85" t="s">
        <v>70</v>
      </c>
      <c r="E85" t="s">
        <v>232</v>
      </c>
      <c r="F85" t="s">
        <v>216</v>
      </c>
      <c r="G85" s="1">
        <v>44562</v>
      </c>
      <c r="H85">
        <v>364</v>
      </c>
      <c r="I85" s="4">
        <f>IF(Tabla1[[#This Row],[Fecha]]="","",G85+H85)</f>
        <v>44926</v>
      </c>
      <c r="J85" s="3" t="str">
        <f>IF(Tabla1[[#This Row],[Fecha de Vencimiento]]="","",IF(K85&lt;0,"Vencido hace "&amp;K85*-1&amp;" días",IF(K85=0,"Vence hoy",K85&amp;" dias por Vencer")))</f>
        <v>364 dias por Vencer</v>
      </c>
      <c r="K85" s="3">
        <f>IF(Tabla1[[#This Row],[Fecha de Vencimiento]]="","",I85-G85)</f>
        <v>364</v>
      </c>
    </row>
    <row r="86" spans="1:11" x14ac:dyDescent="0.25">
      <c r="A86" t="s">
        <v>225</v>
      </c>
      <c r="B86">
        <v>82</v>
      </c>
      <c r="C86" t="s">
        <v>175</v>
      </c>
      <c r="E86" t="s">
        <v>223</v>
      </c>
      <c r="F86" t="s">
        <v>224</v>
      </c>
      <c r="G86" s="1">
        <v>44564</v>
      </c>
      <c r="H86">
        <v>364</v>
      </c>
      <c r="I86" s="4">
        <v>44926</v>
      </c>
      <c r="J86" s="3" t="str">
        <f>IF(Tabla1[[#This Row],[Fecha de Vencimiento]]="","",IF(K86&lt;0,"Vencido hace "&amp;K86*-1&amp;" días",IF(K86=0,"Vence hoy",K86&amp;" dias por Vencer")))</f>
        <v>362 dias por Vencer</v>
      </c>
      <c r="K86" s="3">
        <f>IF(Tabla1[[#This Row],[Fecha de Vencimiento]]="","",I86-G86)</f>
        <v>362</v>
      </c>
    </row>
    <row r="87" spans="1:11" x14ac:dyDescent="0.25">
      <c r="A87" t="s">
        <v>234</v>
      </c>
      <c r="B87">
        <v>83</v>
      </c>
      <c r="C87" t="s">
        <v>235</v>
      </c>
      <c r="E87" t="s">
        <v>236</v>
      </c>
      <c r="F87" t="s">
        <v>237</v>
      </c>
      <c r="G87" s="1">
        <v>44719</v>
      </c>
      <c r="H87">
        <v>364</v>
      </c>
      <c r="I87" s="4">
        <v>44926</v>
      </c>
      <c r="J87" s="3" t="str">
        <f>IF(Tabla1[[#This Row],[Fecha de Vencimiento]]="","",IF(K87&lt;0,"Vencido hace "&amp;K87*-1&amp;" días",IF(K87=0,"Vence hoy",K87&amp;" dias por Vencer")))</f>
        <v>207 dias por Vencer</v>
      </c>
      <c r="K87" s="3">
        <f>IF(Tabla1[[#This Row],[Fecha de Vencimiento]]="","",I87-G87)</f>
        <v>207</v>
      </c>
    </row>
    <row r="88" spans="1:11" x14ac:dyDescent="0.25">
      <c r="A88" t="s">
        <v>238</v>
      </c>
      <c r="B88">
        <v>84</v>
      </c>
      <c r="C88" t="s">
        <v>113</v>
      </c>
      <c r="E88" t="s">
        <v>239</v>
      </c>
      <c r="F88" t="s">
        <v>240</v>
      </c>
      <c r="G88" s="1">
        <v>44720</v>
      </c>
      <c r="H88">
        <v>364</v>
      </c>
      <c r="I88" s="4">
        <v>44926</v>
      </c>
      <c r="J88" s="3" t="str">
        <f>IF(Tabla1[[#This Row],[Fecha de Vencimiento]]="","",IF(K88&lt;0,"Vencido hace "&amp;K88*-1&amp;" días",IF(K88=0,"Vence hoy",K88&amp;" dias por Vencer")))</f>
        <v>206 dias por Vencer</v>
      </c>
      <c r="K88" s="3">
        <f>IF(Tabla1[[#This Row],[Fecha de Vencimiento]]="","",I88-G88)</f>
        <v>206</v>
      </c>
    </row>
    <row r="89" spans="1:11" x14ac:dyDescent="0.25">
      <c r="A89" t="s">
        <v>243</v>
      </c>
      <c r="B89">
        <v>85</v>
      </c>
      <c r="C89" t="s">
        <v>70</v>
      </c>
      <c r="E89" t="s">
        <v>242</v>
      </c>
      <c r="F89" t="s">
        <v>216</v>
      </c>
      <c r="G89" s="1">
        <v>44746</v>
      </c>
      <c r="H89">
        <v>364</v>
      </c>
      <c r="I89" s="6">
        <v>44926</v>
      </c>
      <c r="J89" s="7" t="str">
        <f>IF(Tabla1[[#This Row],[Fecha de Vencimiento]]="","",IF(K89&lt;0,"Vencido hace "&amp;K89*-1&amp;" días",IF(K89=0,"Vence hoy",K89&amp;" dias por Vencer")))</f>
        <v>180 dias por Vencer</v>
      </c>
      <c r="K89" s="3">
        <f>IF(Tabla1[[#This Row],[Fecha de Vencimiento]]="","",I89-G89)</f>
        <v>180</v>
      </c>
    </row>
    <row r="90" spans="1:11" x14ac:dyDescent="0.25">
      <c r="A90" t="s">
        <v>245</v>
      </c>
      <c r="B90">
        <v>86</v>
      </c>
      <c r="C90" t="s">
        <v>70</v>
      </c>
      <c r="E90" t="s">
        <v>244</v>
      </c>
      <c r="F90" t="s">
        <v>216</v>
      </c>
      <c r="G90" s="1">
        <v>44567</v>
      </c>
      <c r="H90">
        <v>364</v>
      </c>
      <c r="I90" s="6">
        <v>44926</v>
      </c>
      <c r="J90" s="7" t="str">
        <f>IF(Tabla1[[#This Row],[Fecha de Vencimiento]]="","",IF(K90&lt;0,"Vencido hace "&amp;K90*-1&amp;" días",IF(K90=0,"Vence hoy",K90&amp;" dias por Vencer")))</f>
        <v>359 dias por Vencer</v>
      </c>
      <c r="K90" s="3">
        <f>IF(Tabla1[[#This Row],[Fecha de Vencimiento]]="","",I90-G90)</f>
        <v>359</v>
      </c>
    </row>
    <row r="91" spans="1:11" x14ac:dyDescent="0.25">
      <c r="A91" t="s">
        <v>247</v>
      </c>
      <c r="B91">
        <v>87</v>
      </c>
      <c r="C91" t="s">
        <v>67</v>
      </c>
      <c r="E91" t="s">
        <v>246</v>
      </c>
      <c r="F91" t="s">
        <v>205</v>
      </c>
      <c r="G91" s="1">
        <v>44564</v>
      </c>
      <c r="H91">
        <v>364</v>
      </c>
      <c r="I91" s="4">
        <v>44926</v>
      </c>
      <c r="J91" s="3" t="str">
        <f>IF(Tabla1[[#This Row],[Fecha de Vencimiento]]="","",IF(K91&lt;0,"Vencido hace "&amp;K91*-1&amp;" días",IF(K91=0,"Vence hoy",K91&amp;" dias por Vencer")))</f>
        <v>362 dias por Vencer</v>
      </c>
      <c r="K91" s="3">
        <f>IF(Tabla1[[#This Row],[Fecha de Vencimiento]]="","",I91-G91)</f>
        <v>362</v>
      </c>
    </row>
    <row r="92" spans="1:11" x14ac:dyDescent="0.25">
      <c r="A92" t="s">
        <v>248</v>
      </c>
      <c r="B92">
        <v>88</v>
      </c>
      <c r="C92" t="s">
        <v>70</v>
      </c>
      <c r="E92" t="s">
        <v>249</v>
      </c>
      <c r="F92" t="s">
        <v>250</v>
      </c>
      <c r="G92" s="1">
        <v>44718</v>
      </c>
      <c r="H92">
        <v>364</v>
      </c>
      <c r="I92" s="4">
        <v>44926</v>
      </c>
      <c r="J92" s="3" t="str">
        <f>IF(Tabla1[[#This Row],[Fecha de Vencimiento]]="","",IF(K92&lt;0,"Vencido hace "&amp;K92*-1&amp;" días",IF(K92=0,"Vence hoy",K92&amp;" dias por Vencer")))</f>
        <v>208 dias por Vencer</v>
      </c>
      <c r="K92" s="3">
        <f>IF(Tabla1[[#This Row],[Fecha de Vencimiento]]="","",I92-G92)</f>
        <v>208</v>
      </c>
    </row>
    <row r="93" spans="1:11" x14ac:dyDescent="0.25">
      <c r="A93" t="s">
        <v>252</v>
      </c>
      <c r="B93">
        <v>89</v>
      </c>
      <c r="C93" t="s">
        <v>70</v>
      </c>
      <c r="E93" t="s">
        <v>251</v>
      </c>
      <c r="F93" t="s">
        <v>179</v>
      </c>
      <c r="G93" s="1">
        <v>44564</v>
      </c>
      <c r="H93">
        <v>364</v>
      </c>
      <c r="I93" s="4">
        <v>44926</v>
      </c>
      <c r="J93" s="3" t="str">
        <f>IF(Tabla1[[#This Row],[Fecha de Vencimiento]]="","",IF(K93&lt;0,"Vencido hace "&amp;K93*-1&amp;" días",IF(K93=0,"Vence hoy",K93&amp;" dias por Vencer")))</f>
        <v>362 dias por Vencer</v>
      </c>
      <c r="K93" s="3">
        <f>IF(Tabla1[[#This Row],[Fecha de Vencimiento]]="","",I93-G93)</f>
        <v>362</v>
      </c>
    </row>
    <row r="94" spans="1:11" x14ac:dyDescent="0.25">
      <c r="A94" t="s">
        <v>253</v>
      </c>
      <c r="B94">
        <v>90</v>
      </c>
      <c r="C94" t="s">
        <v>70</v>
      </c>
      <c r="E94" t="s">
        <v>254</v>
      </c>
      <c r="F94" t="s">
        <v>179</v>
      </c>
      <c r="G94" s="1">
        <v>44564</v>
      </c>
      <c r="H94">
        <v>364</v>
      </c>
      <c r="I94" s="4">
        <v>44926</v>
      </c>
      <c r="J94" s="3" t="str">
        <f>IF(Tabla1[[#This Row],[Fecha de Vencimiento]]="","",IF(K94&lt;0,"Vencido hace "&amp;K94*-1&amp;" días",IF(K94=0,"Vence hoy",K94&amp;" dias por Vencer")))</f>
        <v>362 dias por Vencer</v>
      </c>
      <c r="K94" s="3">
        <f>IF(Tabla1[[#This Row],[Fecha de Vencimiento]]="","",I94-G94)</f>
        <v>362</v>
      </c>
    </row>
    <row r="95" spans="1:11" x14ac:dyDescent="0.25">
      <c r="A95" t="s">
        <v>256</v>
      </c>
      <c r="B95">
        <v>91</v>
      </c>
      <c r="C95" t="s">
        <v>70</v>
      </c>
      <c r="E95" t="s">
        <v>255</v>
      </c>
      <c r="F95" t="s">
        <v>179</v>
      </c>
      <c r="G95" s="1">
        <v>44564</v>
      </c>
      <c r="H95">
        <v>364</v>
      </c>
      <c r="I95" s="4">
        <v>44926</v>
      </c>
      <c r="J95" s="3" t="str">
        <f>IF(Tabla1[[#This Row],[Fecha de Vencimiento]]="","",IF(K95&lt;0,"Vencido hace "&amp;K95*-1&amp;" días",IF(K95=0,"Vence hoy",K95&amp;" dias por Vencer")))</f>
        <v>362 dias por Vencer</v>
      </c>
      <c r="K95" s="3">
        <f>IF(Tabla1[[#This Row],[Fecha de Vencimiento]]="","",I95-G95)</f>
        <v>362</v>
      </c>
    </row>
    <row r="96" spans="1:11" x14ac:dyDescent="0.25">
      <c r="A96" t="s">
        <v>257</v>
      </c>
      <c r="B96">
        <v>92</v>
      </c>
      <c r="C96" t="s">
        <v>70</v>
      </c>
      <c r="E96" t="s">
        <v>258</v>
      </c>
      <c r="F96" t="s">
        <v>179</v>
      </c>
      <c r="G96" s="1">
        <v>44564</v>
      </c>
      <c r="H96">
        <v>364</v>
      </c>
      <c r="I96" s="4">
        <v>44926</v>
      </c>
      <c r="J96" s="3" t="str">
        <f>IF(Tabla1[[#This Row],[Fecha de Vencimiento]]="","",IF(K96&lt;0,"Vencido hace "&amp;K96*-1&amp;" días",IF(K96=0,"Vence hoy",K96&amp;" dias por Vencer")))</f>
        <v>362 dias por Vencer</v>
      </c>
      <c r="K96" s="3">
        <f>IF(Tabla1[[#This Row],[Fecha de Vencimiento]]="","",I96-G96)</f>
        <v>362</v>
      </c>
    </row>
    <row r="97" spans="1:11" x14ac:dyDescent="0.25">
      <c r="A97" t="s">
        <v>259</v>
      </c>
      <c r="B97">
        <v>93</v>
      </c>
      <c r="C97" t="s">
        <v>70</v>
      </c>
      <c r="E97" t="s">
        <v>260</v>
      </c>
      <c r="F97" t="s">
        <v>261</v>
      </c>
      <c r="G97" s="1">
        <v>44564</v>
      </c>
      <c r="H97">
        <v>364</v>
      </c>
      <c r="I97" s="4">
        <v>44926</v>
      </c>
      <c r="J97" s="3" t="str">
        <f>IF(Tabla1[[#This Row],[Fecha de Vencimiento]]="","",IF(K97&lt;0,"Vencido hace "&amp;K97*-1&amp;" días",IF(K97=0,"Vence hoy",K97&amp;" dias por Vencer")))</f>
        <v>362 dias por Vencer</v>
      </c>
      <c r="K97" s="3">
        <f>IF(Tabla1[[#This Row],[Fecha de Vencimiento]]="","",I97-G97)</f>
        <v>362</v>
      </c>
    </row>
    <row r="98" spans="1:11" x14ac:dyDescent="0.25">
      <c r="A98" t="s">
        <v>262</v>
      </c>
      <c r="B98">
        <v>94</v>
      </c>
      <c r="C98" t="s">
        <v>70</v>
      </c>
      <c r="E98" t="s">
        <v>263</v>
      </c>
      <c r="F98" t="s">
        <v>179</v>
      </c>
      <c r="G98" s="1">
        <v>44564</v>
      </c>
      <c r="H98">
        <v>364</v>
      </c>
      <c r="I98" s="4">
        <v>44926</v>
      </c>
      <c r="J98" s="3" t="str">
        <f>IF(Tabla1[[#This Row],[Fecha de Vencimiento]]="","",IF(K98&lt;0,"Vencido hace "&amp;K98*-1&amp;" días",IF(K98=0,"Vence hoy",K98&amp;" dias por Vencer")))</f>
        <v>362 dias por Vencer</v>
      </c>
      <c r="K98" s="3">
        <f>IF(Tabla1[[#This Row],[Fecha de Vencimiento]]="","",I98-G98)</f>
        <v>362</v>
      </c>
    </row>
    <row r="99" spans="1:11" x14ac:dyDescent="0.25">
      <c r="A99" t="s">
        <v>264</v>
      </c>
      <c r="B99">
        <v>95</v>
      </c>
      <c r="C99" t="s">
        <v>70</v>
      </c>
      <c r="E99" t="s">
        <v>265</v>
      </c>
      <c r="F99" t="s">
        <v>266</v>
      </c>
      <c r="G99" s="1">
        <v>44564</v>
      </c>
      <c r="H99">
        <v>364</v>
      </c>
      <c r="I99" s="4">
        <v>44926</v>
      </c>
      <c r="J99" s="3" t="str">
        <f>IF(Tabla1[[#This Row],[Fecha de Vencimiento]]="","",IF(K99&lt;0,"Vencido hace "&amp;K99*-1&amp;" días",IF(K99=0,"Vence hoy",K99&amp;" dias por Vencer")))</f>
        <v>362 dias por Vencer</v>
      </c>
      <c r="K99" s="3">
        <f>IF(Tabla1[[#This Row],[Fecha de Vencimiento]]="","",I99-G99)</f>
        <v>362</v>
      </c>
    </row>
    <row r="100" spans="1:11" x14ac:dyDescent="0.25">
      <c r="A100" t="s">
        <v>268</v>
      </c>
      <c r="B100">
        <v>96</v>
      </c>
      <c r="C100" t="s">
        <v>70</v>
      </c>
      <c r="E100" t="s">
        <v>267</v>
      </c>
      <c r="F100" t="s">
        <v>179</v>
      </c>
      <c r="G100" s="1">
        <v>44564</v>
      </c>
      <c r="H100">
        <v>364</v>
      </c>
      <c r="I100" s="4">
        <v>44926</v>
      </c>
      <c r="J100" s="3" t="str">
        <f>IF(Tabla1[[#This Row],[Fecha de Vencimiento]]="","",IF(K100&lt;0,"Vencido hace "&amp;K100*-1&amp;" días",IF(K100=0,"Vence hoy",K100&amp;" dias por Vencer")))</f>
        <v>362 dias por Vencer</v>
      </c>
      <c r="K100" s="3">
        <f>IF(Tabla1[[#This Row],[Fecha de Vencimiento]]="","",I100-G100)</f>
        <v>362</v>
      </c>
    </row>
    <row r="101" spans="1:11" x14ac:dyDescent="0.25">
      <c r="A101" t="s">
        <v>269</v>
      </c>
      <c r="B101">
        <v>97</v>
      </c>
      <c r="C101" t="s">
        <v>70</v>
      </c>
      <c r="E101" t="s">
        <v>270</v>
      </c>
      <c r="F101" t="s">
        <v>179</v>
      </c>
      <c r="G101" s="1">
        <v>44564</v>
      </c>
      <c r="H101">
        <v>364</v>
      </c>
      <c r="I101" s="4">
        <v>44926</v>
      </c>
      <c r="J101" s="3" t="str">
        <f>IF(Tabla1[[#This Row],[Fecha de Vencimiento]]="","",IF(K101&lt;0,"Vencido hace "&amp;K101*-1&amp;" días",IF(K101=0,"Vence hoy",K101&amp;" dias por Vencer")))</f>
        <v>362 dias por Vencer</v>
      </c>
      <c r="K101" s="3">
        <f>IF(Tabla1[[#This Row],[Fecha de Vencimiento]]="","",I101-G101)</f>
        <v>362</v>
      </c>
    </row>
    <row r="102" spans="1:11" x14ac:dyDescent="0.25">
      <c r="A102" t="s">
        <v>273</v>
      </c>
      <c r="B102">
        <v>98</v>
      </c>
      <c r="C102" t="s">
        <v>70</v>
      </c>
      <c r="E102" t="s">
        <v>271</v>
      </c>
      <c r="F102" t="s">
        <v>272</v>
      </c>
      <c r="G102" s="4">
        <v>44564</v>
      </c>
      <c r="H102">
        <v>364</v>
      </c>
      <c r="I102" s="4">
        <v>44926</v>
      </c>
      <c r="J102" s="3" t="str">
        <f>IF(Tabla1[[#This Row],[Fecha de Vencimiento]]="","",IF(K102&lt;0,"Vencido hace "&amp;K102*-1&amp;" días",IF(K102=0,"Vence hoy",K102&amp;" dias por Vencer")))</f>
        <v>362 dias por Vencer</v>
      </c>
      <c r="K102" s="3">
        <f>IF(Tabla1[[#This Row],[Fecha de Vencimiento]]="","",I102-G102)</f>
        <v>362</v>
      </c>
    </row>
    <row r="103" spans="1:11" x14ac:dyDescent="0.25">
      <c r="A103" t="s">
        <v>274</v>
      </c>
      <c r="B103">
        <v>99</v>
      </c>
      <c r="C103" t="s">
        <v>70</v>
      </c>
      <c r="E103" t="s">
        <v>281</v>
      </c>
      <c r="F103" t="s">
        <v>179</v>
      </c>
      <c r="G103" s="1">
        <v>44564</v>
      </c>
      <c r="H103">
        <v>364</v>
      </c>
      <c r="I103" s="4">
        <v>44926</v>
      </c>
      <c r="J103" s="3" t="str">
        <f>IF(Tabla1[[#This Row],[Fecha de Vencimiento]]="","",IF(K103&lt;0,"Vencido hace "&amp;K103*-1&amp;" días",IF(K103=0,"Vence hoy",K103&amp;" dias por Vencer")))</f>
        <v>362 dias por Vencer</v>
      </c>
      <c r="K103" s="3">
        <f>IF(Tabla1[[#This Row],[Fecha de Vencimiento]]="","",I103-G103)</f>
        <v>362</v>
      </c>
    </row>
    <row r="104" spans="1:11" x14ac:dyDescent="0.25">
      <c r="A104" t="s">
        <v>275</v>
      </c>
      <c r="B104">
        <v>100</v>
      </c>
      <c r="C104" t="s">
        <v>70</v>
      </c>
      <c r="E104" t="s">
        <v>282</v>
      </c>
      <c r="F104" t="s">
        <v>179</v>
      </c>
      <c r="G104" s="1">
        <v>44564</v>
      </c>
      <c r="H104">
        <v>364</v>
      </c>
      <c r="I104" s="4">
        <v>44926</v>
      </c>
      <c r="J104" s="3" t="str">
        <f>IF(Tabla1[[#This Row],[Fecha de Vencimiento]]="","",IF(K104&lt;0,"Vencido hace "&amp;K104*-1&amp;" días",IF(K104=0,"Vence hoy",K104&amp;" dias por Vencer")))</f>
        <v>362 dias por Vencer</v>
      </c>
      <c r="K104" s="3">
        <f>IF(Tabla1[[#This Row],[Fecha de Vencimiento]]="","",I104-G104)</f>
        <v>362</v>
      </c>
    </row>
    <row r="105" spans="1:11" x14ac:dyDescent="0.25">
      <c r="A105" t="s">
        <v>276</v>
      </c>
      <c r="B105">
        <v>101</v>
      </c>
      <c r="C105" t="s">
        <v>70</v>
      </c>
      <c r="E105" t="s">
        <v>283</v>
      </c>
      <c r="F105" t="s">
        <v>179</v>
      </c>
      <c r="G105" s="1">
        <v>44564</v>
      </c>
      <c r="H105">
        <v>364</v>
      </c>
      <c r="I105" s="4">
        <v>44926</v>
      </c>
      <c r="J105" s="3" t="str">
        <f>IF(Tabla1[[#This Row],[Fecha de Vencimiento]]="","",IF(K105&lt;0,"Vencido hace "&amp;K105*-1&amp;" días",IF(K105=0,"Vence hoy",K105&amp;" dias por Vencer")))</f>
        <v>362 dias por Vencer</v>
      </c>
      <c r="K105" s="3">
        <f>IF(Tabla1[[#This Row],[Fecha de Vencimiento]]="","",I105-G105)</f>
        <v>362</v>
      </c>
    </row>
    <row r="106" spans="1:11" x14ac:dyDescent="0.25">
      <c r="A106" t="s">
        <v>277</v>
      </c>
      <c r="B106">
        <v>102</v>
      </c>
      <c r="C106" t="s">
        <v>70</v>
      </c>
      <c r="E106" t="s">
        <v>284</v>
      </c>
      <c r="F106" t="s">
        <v>179</v>
      </c>
      <c r="G106" s="1">
        <v>44564</v>
      </c>
      <c r="H106">
        <v>364</v>
      </c>
      <c r="I106" s="4">
        <v>44926</v>
      </c>
      <c r="J106" s="3" t="str">
        <f>IF(Tabla1[[#This Row],[Fecha de Vencimiento]]="","",IF(K106&lt;0,"Vencido hace "&amp;K106*-1&amp;" días",IF(K106=0,"Vence hoy",K106&amp;" dias por Vencer")))</f>
        <v>362 dias por Vencer</v>
      </c>
      <c r="K106" s="3">
        <f>IF(Tabla1[[#This Row],[Fecha de Vencimiento]]="","",I106-G106)</f>
        <v>362</v>
      </c>
    </row>
    <row r="107" spans="1:11" x14ac:dyDescent="0.25">
      <c r="A107" t="s">
        <v>278</v>
      </c>
      <c r="B107">
        <v>103</v>
      </c>
      <c r="C107" t="s">
        <v>70</v>
      </c>
      <c r="E107" t="s">
        <v>285</v>
      </c>
      <c r="F107" t="s">
        <v>179</v>
      </c>
      <c r="G107" s="1">
        <v>44564</v>
      </c>
      <c r="H107">
        <v>364</v>
      </c>
      <c r="I107" s="4">
        <v>44926</v>
      </c>
      <c r="J107" s="3" t="str">
        <f>IF(Tabla1[[#This Row],[Fecha de Vencimiento]]="","",IF(K107&lt;0,"Vencido hace "&amp;K107*-1&amp;" días",IF(K107=0,"Vence hoy",K107&amp;" dias por Vencer")))</f>
        <v>362 dias por Vencer</v>
      </c>
      <c r="K107" s="3">
        <f>IF(Tabla1[[#This Row],[Fecha de Vencimiento]]="","",I107-G107)</f>
        <v>362</v>
      </c>
    </row>
    <row r="108" spans="1:11" x14ac:dyDescent="0.25">
      <c r="A108" t="s">
        <v>279</v>
      </c>
      <c r="B108">
        <v>104</v>
      </c>
      <c r="C108" t="s">
        <v>70</v>
      </c>
      <c r="E108" t="s">
        <v>286</v>
      </c>
      <c r="F108" t="s">
        <v>179</v>
      </c>
      <c r="G108" s="1">
        <v>44564</v>
      </c>
      <c r="H108">
        <v>364</v>
      </c>
      <c r="I108" s="4">
        <v>44926</v>
      </c>
      <c r="J108" s="3" t="str">
        <f>IF(Tabla1[[#This Row],[Fecha de Vencimiento]]="","",IF(K108&lt;0,"Vencido hace "&amp;K108*-1&amp;" días",IF(K108=0,"Vence hoy",K108&amp;" dias por Vencer")))</f>
        <v>362 dias por Vencer</v>
      </c>
      <c r="K108" s="3">
        <f>IF(Tabla1[[#This Row],[Fecha de Vencimiento]]="","",I108-G108)</f>
        <v>362</v>
      </c>
    </row>
    <row r="109" spans="1:11" x14ac:dyDescent="0.25">
      <c r="A109" t="s">
        <v>280</v>
      </c>
      <c r="B109">
        <v>105</v>
      </c>
      <c r="C109" t="s">
        <v>70</v>
      </c>
      <c r="E109" t="s">
        <v>287</v>
      </c>
      <c r="F109" t="s">
        <v>179</v>
      </c>
      <c r="G109" s="1">
        <v>44564</v>
      </c>
      <c r="H109">
        <v>364</v>
      </c>
      <c r="I109" s="4">
        <v>44926</v>
      </c>
      <c r="J109" s="3" t="str">
        <f>IF(Tabla1[[#This Row],[Fecha de Vencimiento]]="","",IF(K109&lt;0,"Vencido hace "&amp;K109*-1&amp;" días",IF(K109=0,"Vence hoy",K109&amp;" dias por Vencer")))</f>
        <v>362 dias por Vencer</v>
      </c>
      <c r="K109" s="3">
        <f>IF(Tabla1[[#This Row],[Fecha de Vencimiento]]="","",I109-G109)</f>
        <v>362</v>
      </c>
    </row>
    <row r="110" spans="1:11" x14ac:dyDescent="0.25">
      <c r="A110" t="s">
        <v>288</v>
      </c>
      <c r="B110">
        <v>106</v>
      </c>
      <c r="C110" t="s">
        <v>70</v>
      </c>
      <c r="E110" t="s">
        <v>210</v>
      </c>
      <c r="F110" t="s">
        <v>289</v>
      </c>
      <c r="G110" s="1">
        <v>44564</v>
      </c>
      <c r="H110">
        <v>364</v>
      </c>
      <c r="I110" s="4">
        <v>44926</v>
      </c>
      <c r="J110" s="3" t="str">
        <f>IF(Tabla1[[#This Row],[Fecha de Vencimiento]]="","",IF(K110&lt;0,"Vencido hace "&amp;K110*-1&amp;" días",IF(K110=0,"Vence hoy",K110&amp;" dias por Vencer")))</f>
        <v>362 dias por Vencer</v>
      </c>
      <c r="K110" s="3">
        <f>IF(Tabla1[[#This Row],[Fecha de Vencimiento]]="","",I110-G110)</f>
        <v>362</v>
      </c>
    </row>
    <row r="111" spans="1:11" x14ac:dyDescent="0.25">
      <c r="A111" t="s">
        <v>290</v>
      </c>
      <c r="B111">
        <v>107</v>
      </c>
      <c r="C111" t="s">
        <v>70</v>
      </c>
      <c r="E111" t="s">
        <v>291</v>
      </c>
      <c r="F111" t="s">
        <v>272</v>
      </c>
      <c r="G111" s="1">
        <v>44564</v>
      </c>
      <c r="H111">
        <v>364</v>
      </c>
      <c r="I111" s="4">
        <v>44926</v>
      </c>
      <c r="J111" s="3" t="str">
        <f>IF(Tabla1[[#This Row],[Fecha de Vencimiento]]="","",IF(K111&lt;0,"Vencido hace "&amp;K111*-1&amp;" días",IF(K111=0,"Vence hoy",K111&amp;" dias por Vencer")))</f>
        <v>362 dias por Vencer</v>
      </c>
      <c r="K111" s="3">
        <f>IF(Tabla1[[#This Row],[Fecha de Vencimiento]]="","",I111-G111)</f>
        <v>362</v>
      </c>
    </row>
    <row r="112" spans="1:11" x14ac:dyDescent="0.25">
      <c r="A112" t="s">
        <v>292</v>
      </c>
      <c r="B112">
        <v>108</v>
      </c>
      <c r="C112" t="s">
        <v>70</v>
      </c>
      <c r="E112" t="s">
        <v>293</v>
      </c>
      <c r="F112" t="s">
        <v>179</v>
      </c>
      <c r="G112" s="1">
        <v>44564</v>
      </c>
      <c r="H112">
        <v>364</v>
      </c>
      <c r="I112" s="4">
        <v>44926</v>
      </c>
      <c r="J112" s="3" t="str">
        <f>IF(Tabla1[[#This Row],[Fecha de Vencimiento]]="","",IF(K112&lt;0,"Vencido hace "&amp;K112*-1&amp;" días",IF(K112=0,"Vence hoy",K112&amp;" dias por Vencer")))</f>
        <v>362 dias por Vencer</v>
      </c>
      <c r="K112" s="3">
        <f>IF(Tabla1[[#This Row],[Fecha de Vencimiento]]="","",I112-G112)</f>
        <v>362</v>
      </c>
    </row>
    <row r="113" spans="1:11" x14ac:dyDescent="0.25">
      <c r="A113" t="s">
        <v>294</v>
      </c>
      <c r="B113">
        <v>109</v>
      </c>
      <c r="C113" t="s">
        <v>70</v>
      </c>
      <c r="E113" t="s">
        <v>295</v>
      </c>
      <c r="F113" t="s">
        <v>179</v>
      </c>
      <c r="G113" s="1">
        <v>44564</v>
      </c>
      <c r="H113">
        <v>364</v>
      </c>
      <c r="I113" s="4">
        <v>44926</v>
      </c>
      <c r="J113" s="3" t="str">
        <f>IF(Tabla1[[#This Row],[Fecha de Vencimiento]]="","",IF(K113&lt;0,"Vencido hace "&amp;K113*-1&amp;" días",IF(K113=0,"Vence hoy",K113&amp;" dias por Vencer")))</f>
        <v>362 dias por Vencer</v>
      </c>
      <c r="K113" s="3">
        <f>IF(Tabla1[[#This Row],[Fecha de Vencimiento]]="","",I113-G113)</f>
        <v>362</v>
      </c>
    </row>
    <row r="114" spans="1:11" x14ac:dyDescent="0.25">
      <c r="A114" t="s">
        <v>296</v>
      </c>
      <c r="B114">
        <v>110</v>
      </c>
      <c r="C114" t="s">
        <v>70</v>
      </c>
      <c r="E114" t="s">
        <v>297</v>
      </c>
      <c r="F114" t="s">
        <v>179</v>
      </c>
      <c r="G114" s="1">
        <v>44564</v>
      </c>
      <c r="H114">
        <v>364</v>
      </c>
      <c r="I114" s="4">
        <v>44926</v>
      </c>
      <c r="J114" s="3" t="str">
        <f>IF(Tabla1[[#This Row],[Fecha de Vencimiento]]="","",IF(K114&lt;0,"Vencido hace "&amp;K114*-1&amp;" días",IF(K114=0,"Vence hoy",K114&amp;" dias por Vencer")))</f>
        <v>362 dias por Vencer</v>
      </c>
      <c r="K114" s="3">
        <f>IF(Tabla1[[#This Row],[Fecha de Vencimiento]]="","",I114-G114)</f>
        <v>362</v>
      </c>
    </row>
    <row r="115" spans="1:11" x14ac:dyDescent="0.25">
      <c r="A115" t="s">
        <v>298</v>
      </c>
      <c r="B115">
        <v>111</v>
      </c>
      <c r="C115" t="s">
        <v>70</v>
      </c>
      <c r="E115" t="s">
        <v>299</v>
      </c>
      <c r="F115" t="s">
        <v>304</v>
      </c>
      <c r="G115" s="1">
        <v>44564</v>
      </c>
      <c r="H115">
        <v>364</v>
      </c>
      <c r="I115" s="4">
        <v>44926</v>
      </c>
      <c r="J115" s="3" t="str">
        <f>IF(Tabla1[[#This Row],[Fecha de Vencimiento]]="","",IF(K115&lt;0,"Vencido hace "&amp;K115*-1&amp;" días",IF(K115=0,"Vence hoy",K115&amp;" dias por Vencer")))</f>
        <v>362 dias por Vencer</v>
      </c>
      <c r="K115" s="3">
        <f>IF(Tabla1[[#This Row],[Fecha de Vencimiento]]="","",I115-G115)</f>
        <v>362</v>
      </c>
    </row>
    <row r="116" spans="1:11" x14ac:dyDescent="0.25">
      <c r="A116" t="s">
        <v>300</v>
      </c>
      <c r="B116">
        <v>112</v>
      </c>
      <c r="C116" t="s">
        <v>70</v>
      </c>
      <c r="E116" t="s">
        <v>302</v>
      </c>
      <c r="F116" t="s">
        <v>304</v>
      </c>
      <c r="G116" s="1">
        <v>44564</v>
      </c>
      <c r="H116">
        <v>364</v>
      </c>
      <c r="I116" s="4">
        <v>44926</v>
      </c>
      <c r="J116" s="3" t="str">
        <f>IF(Tabla1[[#This Row],[Fecha de Vencimiento]]="","",IF(K116&lt;0,"Vencido hace "&amp;K116*-1&amp;" días",IF(K116=0,"Vence hoy",K116&amp;" dias por Vencer")))</f>
        <v>362 dias por Vencer</v>
      </c>
      <c r="K116" s="3">
        <f>IF(Tabla1[[#This Row],[Fecha de Vencimiento]]="","",I116-G116)</f>
        <v>362</v>
      </c>
    </row>
    <row r="117" spans="1:11" x14ac:dyDescent="0.25">
      <c r="A117" t="s">
        <v>301</v>
      </c>
      <c r="B117">
        <v>113</v>
      </c>
      <c r="C117" t="s">
        <v>70</v>
      </c>
      <c r="E117" t="s">
        <v>303</v>
      </c>
      <c r="F117" t="s">
        <v>305</v>
      </c>
      <c r="G117" s="1">
        <v>44564</v>
      </c>
      <c r="H117">
        <v>364</v>
      </c>
      <c r="I117" s="4">
        <v>44926</v>
      </c>
      <c r="J117" s="3" t="str">
        <f>IF(Tabla1[[#This Row],[Fecha de Vencimiento]]="","",IF(K117&lt;0,"Vencido hace "&amp;K117*-1&amp;" días",IF(K117=0,"Vence hoy",K117&amp;" dias por Vencer")))</f>
        <v>362 dias por Vencer</v>
      </c>
      <c r="K117" s="3">
        <f>IF(Tabla1[[#This Row],[Fecha de Vencimiento]]="","",I117-G117)</f>
        <v>362</v>
      </c>
    </row>
    <row r="118" spans="1:11" x14ac:dyDescent="0.25">
      <c r="A118" t="s">
        <v>306</v>
      </c>
      <c r="B118">
        <v>114</v>
      </c>
      <c r="C118" t="s">
        <v>70</v>
      </c>
      <c r="E118" t="s">
        <v>307</v>
      </c>
      <c r="F118" t="s">
        <v>33</v>
      </c>
      <c r="G118" s="1">
        <v>44564</v>
      </c>
      <c r="H118">
        <v>364</v>
      </c>
      <c r="I118" s="4">
        <v>44926</v>
      </c>
      <c r="J118" s="3" t="str">
        <f>IF(Tabla1[[#This Row],[Fecha de Vencimiento]]="","",IF(K118&lt;0,"Vencido hace "&amp;K118*-1&amp;" días",IF(K118=0,"Vence hoy",K118&amp;" dias por Vencer")))</f>
        <v>362 dias por Vencer</v>
      </c>
      <c r="K118" s="3">
        <f>IF(Tabla1[[#This Row],[Fecha de Vencimiento]]="","",I118-G118)</f>
        <v>362</v>
      </c>
    </row>
    <row r="119" spans="1:11" x14ac:dyDescent="0.25">
      <c r="A119" t="s">
        <v>309</v>
      </c>
      <c r="B119">
        <v>115</v>
      </c>
      <c r="C119" t="s">
        <v>70</v>
      </c>
      <c r="E119" t="s">
        <v>308</v>
      </c>
      <c r="F119" t="s">
        <v>179</v>
      </c>
      <c r="G119" s="1">
        <v>44564</v>
      </c>
      <c r="H119">
        <v>364</v>
      </c>
      <c r="I119" s="4">
        <v>44926</v>
      </c>
      <c r="J119" s="3" t="str">
        <f>IF(Tabla1[[#This Row],[Fecha de Vencimiento]]="","",IF(K119&lt;0,"Vencido hace "&amp;K119*-1&amp;" días",IF(K119=0,"Vence hoy",K119&amp;" dias por Vencer")))</f>
        <v>362 dias por Vencer</v>
      </c>
      <c r="K119" s="3">
        <f>IF(Tabla1[[#This Row],[Fecha de Vencimiento]]="","",I119-G119)</f>
        <v>362</v>
      </c>
    </row>
    <row r="120" spans="1:11" x14ac:dyDescent="0.25">
      <c r="A120" t="s">
        <v>311</v>
      </c>
      <c r="B120">
        <v>116</v>
      </c>
      <c r="C120" t="s">
        <v>70</v>
      </c>
      <c r="E120" t="s">
        <v>310</v>
      </c>
      <c r="F120" t="s">
        <v>312</v>
      </c>
      <c r="G120" s="1">
        <v>44564</v>
      </c>
      <c r="H120">
        <v>364</v>
      </c>
      <c r="I120" s="4">
        <v>44926</v>
      </c>
      <c r="J120" s="3" t="str">
        <f>IF(Tabla1[[#This Row],[Fecha de Vencimiento]]="","",IF(K120&lt;0,"Vencido hace "&amp;K120*-1&amp;" días",IF(K120=0,"Vence hoy",K120&amp;" dias por Vencer")))</f>
        <v>362 dias por Vencer</v>
      </c>
      <c r="K120" s="3">
        <f>IF(Tabla1[[#This Row],[Fecha de Vencimiento]]="","",I120-G120)</f>
        <v>362</v>
      </c>
    </row>
    <row r="121" spans="1:11" x14ac:dyDescent="0.25">
      <c r="A121" t="s">
        <v>313</v>
      </c>
      <c r="B121">
        <v>117</v>
      </c>
      <c r="C121" t="s">
        <v>70</v>
      </c>
      <c r="E121" t="s">
        <v>330</v>
      </c>
      <c r="F121" t="s">
        <v>179</v>
      </c>
      <c r="G121" s="1">
        <v>44564</v>
      </c>
      <c r="H121">
        <v>364</v>
      </c>
      <c r="I121" s="4">
        <v>44926</v>
      </c>
      <c r="J121" s="3" t="str">
        <f>IF(Tabla1[[#This Row],[Fecha de Vencimiento]]="","",IF(K121&lt;0,"Vencido hace "&amp;K121*-1&amp;" días",IF(K121=0,"Vence hoy",K121&amp;" dias por Vencer")))</f>
        <v>362 dias por Vencer</v>
      </c>
      <c r="K121" s="3">
        <f>IF(Tabla1[[#This Row],[Fecha de Vencimiento]]="","",I121-G121)</f>
        <v>362</v>
      </c>
    </row>
    <row r="122" spans="1:11" x14ac:dyDescent="0.25">
      <c r="A122" t="s">
        <v>314</v>
      </c>
      <c r="B122">
        <v>118</v>
      </c>
      <c r="C122" t="s">
        <v>70</v>
      </c>
      <c r="E122" t="s">
        <v>328</v>
      </c>
      <c r="F122" t="s">
        <v>272</v>
      </c>
      <c r="G122" s="1">
        <v>44566</v>
      </c>
      <c r="H122">
        <v>364</v>
      </c>
      <c r="I122" s="4">
        <v>44926</v>
      </c>
      <c r="J122" s="3" t="str">
        <f>IF(Tabla1[[#This Row],[Fecha de Vencimiento]]="","",IF(K122&lt;0,"Vencido hace "&amp;K122*-1&amp;" días",IF(K122=0,"Vence hoy",K122&amp;" dias por Vencer")))</f>
        <v>360 dias por Vencer</v>
      </c>
      <c r="K122" s="3">
        <f>IF(Tabla1[[#This Row],[Fecha de Vencimiento]]="","",I122-G122)</f>
        <v>360</v>
      </c>
    </row>
    <row r="123" spans="1:11" x14ac:dyDescent="0.25">
      <c r="A123" t="s">
        <v>315</v>
      </c>
      <c r="B123">
        <v>119</v>
      </c>
      <c r="C123" t="s">
        <v>70</v>
      </c>
      <c r="E123" t="s">
        <v>331</v>
      </c>
      <c r="F123" t="s">
        <v>179</v>
      </c>
      <c r="G123" s="1">
        <v>44564</v>
      </c>
      <c r="H123">
        <v>364</v>
      </c>
      <c r="I123" s="4">
        <v>44926</v>
      </c>
      <c r="J123" s="3" t="str">
        <f>IF(Tabla1[[#This Row],[Fecha de Vencimiento]]="","",IF(K123&lt;0,"Vencido hace "&amp;K123*-1&amp;" días",IF(K123=0,"Vence hoy",K123&amp;" dias por Vencer")))</f>
        <v>362 dias por Vencer</v>
      </c>
      <c r="K123" s="3">
        <f>IF(Tabla1[[#This Row],[Fecha de Vencimiento]]="","",I123-G123)</f>
        <v>362</v>
      </c>
    </row>
    <row r="124" spans="1:11" x14ac:dyDescent="0.25">
      <c r="A124" t="s">
        <v>316</v>
      </c>
      <c r="B124">
        <v>120</v>
      </c>
      <c r="C124" t="s">
        <v>70</v>
      </c>
      <c r="E124" t="s">
        <v>329</v>
      </c>
      <c r="F124" t="s">
        <v>179</v>
      </c>
      <c r="G124" s="1">
        <v>44564</v>
      </c>
      <c r="H124">
        <v>364</v>
      </c>
      <c r="I124" s="4">
        <v>44926</v>
      </c>
      <c r="J124" s="3" t="str">
        <f>IF(Tabla1[[#This Row],[Fecha de Vencimiento]]="","",IF(K124&lt;0,"Vencido hace "&amp;K124*-1&amp;" días",IF(K124=0,"Vence hoy",K124&amp;" dias por Vencer")))</f>
        <v>362 dias por Vencer</v>
      </c>
      <c r="K124" s="3">
        <f>IF(Tabla1[[#This Row],[Fecha de Vencimiento]]="","",I124-G124)</f>
        <v>362</v>
      </c>
    </row>
    <row r="125" spans="1:11" x14ac:dyDescent="0.25">
      <c r="A125" t="s">
        <v>317</v>
      </c>
      <c r="B125">
        <v>121</v>
      </c>
      <c r="C125" t="s">
        <v>70</v>
      </c>
      <c r="E125" t="s">
        <v>326</v>
      </c>
      <c r="F125" t="s">
        <v>272</v>
      </c>
      <c r="G125" s="1">
        <v>44566</v>
      </c>
      <c r="H125">
        <v>364</v>
      </c>
      <c r="I125" s="4">
        <v>44926</v>
      </c>
      <c r="J125" s="3" t="str">
        <f>IF(Tabla1[[#This Row],[Fecha de Vencimiento]]="","",IF(K125&lt;0,"Vencido hace "&amp;K125*-1&amp;" días",IF(K125=0,"Vence hoy",K125&amp;" dias por Vencer")))</f>
        <v>360 dias por Vencer</v>
      </c>
      <c r="K125" s="3">
        <f>IF(Tabla1[[#This Row],[Fecha de Vencimiento]]="","",I125-G125)</f>
        <v>360</v>
      </c>
    </row>
    <row r="126" spans="1:11" x14ac:dyDescent="0.25">
      <c r="A126" t="s">
        <v>318</v>
      </c>
      <c r="B126">
        <v>122</v>
      </c>
      <c r="C126" t="s">
        <v>70</v>
      </c>
      <c r="E126" t="s">
        <v>327</v>
      </c>
      <c r="F126" t="s">
        <v>289</v>
      </c>
      <c r="G126" s="1">
        <v>44564</v>
      </c>
      <c r="H126">
        <v>364</v>
      </c>
      <c r="I126" s="4">
        <v>44926</v>
      </c>
      <c r="J126" s="3" t="str">
        <f>IF(Tabla1[[#This Row],[Fecha de Vencimiento]]="","",IF(K126&lt;0,"Vencido hace "&amp;K126*-1&amp;" días",IF(K126=0,"Vence hoy",K126&amp;" dias por Vencer")))</f>
        <v>362 dias por Vencer</v>
      </c>
      <c r="K126" s="3">
        <f>IF(Tabla1[[#This Row],[Fecha de Vencimiento]]="","",I126-G126)</f>
        <v>362</v>
      </c>
    </row>
    <row r="127" spans="1:11" x14ac:dyDescent="0.25">
      <c r="A127" t="s">
        <v>319</v>
      </c>
      <c r="B127">
        <v>123</v>
      </c>
      <c r="C127" t="s">
        <v>70</v>
      </c>
      <c r="E127" t="s">
        <v>325</v>
      </c>
      <c r="F127" t="s">
        <v>179</v>
      </c>
      <c r="G127" s="1">
        <v>44564</v>
      </c>
      <c r="H127">
        <v>364</v>
      </c>
      <c r="I127" s="4">
        <v>44926</v>
      </c>
      <c r="J127" s="3" t="str">
        <f>IF(Tabla1[[#This Row],[Fecha de Vencimiento]]="","",IF(K127&lt;0,"Vencido hace "&amp;K127*-1&amp;" días",IF(K127=0,"Vence hoy",K127&amp;" dias por Vencer")))</f>
        <v>362 dias por Vencer</v>
      </c>
      <c r="K127" s="3">
        <f>IF(Tabla1[[#This Row],[Fecha de Vencimiento]]="","",I127-G127)</f>
        <v>362</v>
      </c>
    </row>
    <row r="128" spans="1:11" x14ac:dyDescent="0.25">
      <c r="A128" t="s">
        <v>320</v>
      </c>
      <c r="B128">
        <v>124</v>
      </c>
      <c r="C128" t="s">
        <v>70</v>
      </c>
      <c r="E128" t="s">
        <v>323</v>
      </c>
      <c r="F128" t="s">
        <v>179</v>
      </c>
      <c r="G128" s="1">
        <v>44564</v>
      </c>
      <c r="H128">
        <v>364</v>
      </c>
      <c r="I128" s="4">
        <v>44926</v>
      </c>
      <c r="J128" s="3" t="str">
        <f>IF(Tabla1[[#This Row],[Fecha de Vencimiento]]="","",IF(K128&lt;0,"Vencido hace "&amp;K128*-1&amp;" días",IF(K128=0,"Vence hoy",K128&amp;" dias por Vencer")))</f>
        <v>362 dias por Vencer</v>
      </c>
      <c r="K128" s="3">
        <f>IF(Tabla1[[#This Row],[Fecha de Vencimiento]]="","",I128-G128)</f>
        <v>362</v>
      </c>
    </row>
    <row r="129" spans="1:11" x14ac:dyDescent="0.25">
      <c r="A129" t="s">
        <v>321</v>
      </c>
      <c r="B129">
        <v>125</v>
      </c>
      <c r="C129" t="s">
        <v>70</v>
      </c>
      <c r="E129" t="s">
        <v>322</v>
      </c>
      <c r="F129" t="s">
        <v>324</v>
      </c>
      <c r="G129" s="1">
        <v>44566</v>
      </c>
      <c r="H129">
        <v>364</v>
      </c>
      <c r="I129" s="4">
        <v>44926</v>
      </c>
      <c r="J129" s="3" t="str">
        <f>IF(Tabla1[[#This Row],[Fecha de Vencimiento]]="","",IF(K129&lt;0,"Vencido hace "&amp;K129*-1&amp;" días",IF(K129=0,"Vence hoy",K129&amp;" dias por Vencer")))</f>
        <v>360 dias por Vencer</v>
      </c>
      <c r="K129" s="3">
        <f>IF(Tabla1[[#This Row],[Fecha de Vencimiento]]="","",I129-G129)</f>
        <v>360</v>
      </c>
    </row>
    <row r="130" spans="1:11" x14ac:dyDescent="0.25">
      <c r="A130" t="s">
        <v>333</v>
      </c>
      <c r="B130">
        <v>126</v>
      </c>
      <c r="C130" t="s">
        <v>334</v>
      </c>
      <c r="E130" t="s">
        <v>335</v>
      </c>
      <c r="F130" t="s">
        <v>336</v>
      </c>
      <c r="G130" s="1">
        <v>44839</v>
      </c>
      <c r="H130">
        <v>364</v>
      </c>
      <c r="I130" s="4">
        <v>44926</v>
      </c>
      <c r="J130" s="3" t="str">
        <f>IF(Tabla1[[#This Row],[Fecha de Vencimiento]]="","",IF(K130&lt;0,"Vencido hace "&amp;K130*-1&amp;" días",IF(K130=0,"Vence hoy",K130&amp;" dias por Vencer")))</f>
        <v>87 dias por Vencer</v>
      </c>
      <c r="K130" s="3">
        <f>IF(Tabla1[[#This Row],[Fecha de Vencimiento]]="","",I130-G130)</f>
        <v>87</v>
      </c>
    </row>
    <row r="131" spans="1:11" x14ac:dyDescent="0.25">
      <c r="A131" t="s">
        <v>337</v>
      </c>
      <c r="B131">
        <v>127</v>
      </c>
      <c r="C131" t="s">
        <v>70</v>
      </c>
      <c r="E131" t="s">
        <v>338</v>
      </c>
      <c r="F131" t="s">
        <v>339</v>
      </c>
      <c r="G131" s="1">
        <v>44760</v>
      </c>
      <c r="H131">
        <v>364</v>
      </c>
      <c r="I131" s="4">
        <v>44926</v>
      </c>
      <c r="J131" s="3" t="str">
        <f>IF(Tabla1[[#This Row],[Fecha de Vencimiento]]="","",IF(K131&lt;0,"Vencido hace "&amp;K131*-1&amp;" días",IF(K131=0,"Vence hoy",K131&amp;" dias por Vencer")))</f>
        <v>166 dias por Vencer</v>
      </c>
      <c r="K131" s="3">
        <f>IF(Tabla1[[#This Row],[Fecha de Vencimiento]]="","",I131-G131)</f>
        <v>166</v>
      </c>
    </row>
    <row r="132" spans="1:11" x14ac:dyDescent="0.25">
      <c r="A132" t="s">
        <v>340</v>
      </c>
      <c r="B132">
        <v>128</v>
      </c>
      <c r="C132" t="s">
        <v>70</v>
      </c>
      <c r="E132" t="s">
        <v>341</v>
      </c>
      <c r="F132" t="s">
        <v>97</v>
      </c>
      <c r="G132" s="1">
        <v>44564</v>
      </c>
      <c r="H132">
        <v>364</v>
      </c>
      <c r="I132" s="4">
        <v>44926</v>
      </c>
      <c r="J132" s="3" t="str">
        <f>IF(Tabla1[[#This Row],[Fecha de Vencimiento]]="","",IF(K132&lt;0,"Vencido hace "&amp;K132*-1&amp;" días",IF(K132=0,"Vence hoy",K132&amp;" dias por Vencer")))</f>
        <v>362 dias por Vencer</v>
      </c>
      <c r="K132" s="3">
        <f>IF(Tabla1[[#This Row],[Fecha de Vencimiento]]="","",I132-G132)</f>
        <v>362</v>
      </c>
    </row>
    <row r="133" spans="1:11" x14ac:dyDescent="0.25">
      <c r="A133" t="s">
        <v>342</v>
      </c>
      <c r="B133">
        <v>129</v>
      </c>
      <c r="C133" t="s">
        <v>70</v>
      </c>
      <c r="E133" t="s">
        <v>343</v>
      </c>
      <c r="F133" t="s">
        <v>344</v>
      </c>
      <c r="G133" s="1">
        <v>44826</v>
      </c>
      <c r="H133">
        <v>364</v>
      </c>
      <c r="I133" s="4">
        <v>44926</v>
      </c>
      <c r="J133" s="3" t="str">
        <f>IF(Tabla1[[#This Row],[Fecha de Vencimiento]]="","",IF(K133&lt;0,"Vencido hace "&amp;K133*-1&amp;" días",IF(K133=0,"Vence hoy",K133&amp;" dias por Vencer")))</f>
        <v>100 dias por Vencer</v>
      </c>
      <c r="K133" s="3">
        <f>IF(Tabla1[[#This Row],[Fecha de Vencimiento]]="","",I133-G133)</f>
        <v>100</v>
      </c>
    </row>
    <row r="134" spans="1:11" x14ac:dyDescent="0.25">
      <c r="A134" t="s">
        <v>377</v>
      </c>
      <c r="B134">
        <v>130</v>
      </c>
      <c r="C134" t="s">
        <v>70</v>
      </c>
      <c r="E134" t="s">
        <v>376</v>
      </c>
      <c r="F134" t="s">
        <v>324</v>
      </c>
      <c r="G134" s="1">
        <v>44566</v>
      </c>
      <c r="H134">
        <v>364</v>
      </c>
      <c r="I134" s="4">
        <v>44926</v>
      </c>
      <c r="J134" s="3" t="str">
        <f>IF(Tabla1[[#This Row],[Fecha de Vencimiento]]="","",IF(K134&lt;0,"Vencido hace "&amp;K134*-1&amp;" días",IF(K134=0,"Vence hoy",K134&amp;" dias por Vencer")))</f>
        <v>360 dias por Vencer</v>
      </c>
      <c r="K134" s="3">
        <f>IF(Tabla1[[#This Row],[Fecha de Vencimiento]]="","",I134-G134)</f>
        <v>360</v>
      </c>
    </row>
    <row r="135" spans="1:11" x14ac:dyDescent="0.25">
      <c r="A135" s="13" t="s">
        <v>382</v>
      </c>
      <c r="B135">
        <v>131</v>
      </c>
      <c r="C135" t="s">
        <v>17</v>
      </c>
      <c r="E135" t="s">
        <v>378</v>
      </c>
      <c r="F135" t="s">
        <v>379</v>
      </c>
      <c r="G135" s="1">
        <v>44847</v>
      </c>
      <c r="H135">
        <v>364</v>
      </c>
      <c r="I135" s="4">
        <v>44926</v>
      </c>
      <c r="J135" s="3" t="str">
        <f>IF(Tabla1[[#This Row],[Fecha de Vencimiento]]="","",IF(K135&lt;0,"Vencido hace "&amp;K135*-1&amp;" días",IF(K135=0,"Vence hoy",K135&amp;" dias por Vencer")))</f>
        <v>79 dias por Vencer</v>
      </c>
      <c r="K135" s="3">
        <f>IF(Tabla1[[#This Row],[Fecha de Vencimiento]]="","",I135-G135)</f>
        <v>79</v>
      </c>
    </row>
    <row r="136" spans="1:11" x14ac:dyDescent="0.25">
      <c r="A136" t="s">
        <v>380</v>
      </c>
      <c r="B136">
        <v>132</v>
      </c>
      <c r="C136" t="s">
        <v>113</v>
      </c>
      <c r="E136" t="s">
        <v>381</v>
      </c>
      <c r="F136" t="s">
        <v>197</v>
      </c>
      <c r="G136" s="1">
        <v>44826</v>
      </c>
      <c r="H136">
        <v>364</v>
      </c>
      <c r="I136" s="4">
        <v>44926</v>
      </c>
      <c r="J136" s="3" t="str">
        <f>IF(Tabla1[[#This Row],[Fecha de Vencimiento]]="","",IF(K136&lt;0,"Vencido hace "&amp;K136*-1&amp;" días",IF(K136=0,"Vence hoy",K136&amp;" dias por Vencer")))</f>
        <v>100 dias por Vencer</v>
      </c>
      <c r="K136" s="3">
        <f>IF(Tabla1[[#This Row],[Fecha de Vencimiento]]="","",I136-G136)</f>
        <v>100</v>
      </c>
    </row>
    <row r="137" spans="1:11" x14ac:dyDescent="0.25">
      <c r="B137">
        <v>133</v>
      </c>
      <c r="C137" t="s">
        <v>70</v>
      </c>
      <c r="E137" t="s">
        <v>375</v>
      </c>
      <c r="F137" t="s">
        <v>383</v>
      </c>
      <c r="G137" s="1">
        <v>44578</v>
      </c>
      <c r="H137">
        <v>364</v>
      </c>
      <c r="I137" s="4">
        <v>44926</v>
      </c>
      <c r="J137" s="3" t="str">
        <f>IF(Tabla1[[#This Row],[Fecha de Vencimiento]]="","",IF(K137&lt;0,"Vencido hace "&amp;K137*-1&amp;" días",IF(K137=0,"Vence hoy",K137&amp;" dias por Vencer")))</f>
        <v>348 dias por Vencer</v>
      </c>
      <c r="K137" s="3">
        <f>IF(Tabla1[[#This Row],[Fecha de Vencimiento]]="","",I137-G137)</f>
        <v>348</v>
      </c>
    </row>
    <row r="138" spans="1:11" x14ac:dyDescent="0.25">
      <c r="B138">
        <v>134</v>
      </c>
      <c r="C138" t="s">
        <v>70</v>
      </c>
      <c r="E138" t="s">
        <v>400</v>
      </c>
      <c r="F138" t="s">
        <v>324</v>
      </c>
      <c r="G138" s="1"/>
      <c r="I138" s="4" t="str">
        <f>IF(Tabla1[[#This Row],[Fecha]]="","",G138+H138)</f>
        <v/>
      </c>
      <c r="J138" s="3" t="str">
        <f>IF(Tabla1[[#This Row],[Fecha de Vencimiento]]="","",IF(K138&lt;0,"Vencido hace "&amp;K138*-1&amp;" días",IF(K138=0,"Vence hoy",K138&amp;" dias por Vencer")))</f>
        <v/>
      </c>
      <c r="K138" s="3" t="str">
        <f>IF(Tabla1[[#This Row],[Fecha de Vencimiento]]="","",I138-G138)</f>
        <v/>
      </c>
    </row>
    <row r="139" spans="1:11" x14ac:dyDescent="0.25">
      <c r="A139" t="s">
        <v>333</v>
      </c>
      <c r="B139">
        <v>135</v>
      </c>
      <c r="C139" t="s">
        <v>17</v>
      </c>
      <c r="E139" t="s">
        <v>281</v>
      </c>
      <c r="F139" t="s">
        <v>34</v>
      </c>
      <c r="G139" s="1">
        <v>44854</v>
      </c>
      <c r="H139">
        <v>364</v>
      </c>
      <c r="I139" s="4">
        <v>44926</v>
      </c>
      <c r="J139" s="3" t="str">
        <f>IF(Tabla1[[#This Row],[Fecha de Vencimiento]]="","",IF(K139&lt;0,"Vencido hace "&amp;K139*-1&amp;" días",IF(K139=0,"Vence hoy",K139&amp;" dias por Vencer")))</f>
        <v>72 dias por Vencer</v>
      </c>
      <c r="K139" s="3">
        <f>IF(Tabla1[[#This Row],[Fecha de Vencimiento]]="","",I139-G139)</f>
        <v>72</v>
      </c>
    </row>
    <row r="140" spans="1:11" x14ac:dyDescent="0.25">
      <c r="A140" t="s">
        <v>402</v>
      </c>
      <c r="B140">
        <v>136</v>
      </c>
      <c r="C140" t="s">
        <v>70</v>
      </c>
      <c r="E140" t="s">
        <v>401</v>
      </c>
      <c r="F140" t="s">
        <v>304</v>
      </c>
      <c r="G140" s="1">
        <v>44564</v>
      </c>
      <c r="H140">
        <v>364</v>
      </c>
      <c r="I140" s="4">
        <v>44926</v>
      </c>
      <c r="J140" s="3" t="str">
        <f>IF(Tabla1[[#This Row],[Fecha de Vencimiento]]="","",IF(K140&lt;0,"Vencido hace "&amp;K140*-1&amp;" días",IF(K140=0,"Vence hoy",K140&amp;" dias por Vencer")))</f>
        <v>362 dias por Vencer</v>
      </c>
      <c r="K140" s="3">
        <f>IF(Tabla1[[#This Row],[Fecha de Vencimiento]]="","",I140-G140)</f>
        <v>362</v>
      </c>
    </row>
    <row r="141" spans="1:11" x14ac:dyDescent="0.25">
      <c r="A141" t="s">
        <v>406</v>
      </c>
      <c r="B141">
        <v>137</v>
      </c>
      <c r="C141" t="s">
        <v>403</v>
      </c>
      <c r="E141" t="s">
        <v>404</v>
      </c>
      <c r="F141" t="s">
        <v>405</v>
      </c>
      <c r="G141" s="1">
        <v>44564</v>
      </c>
      <c r="H141">
        <v>364</v>
      </c>
      <c r="I141" s="4">
        <v>44926</v>
      </c>
      <c r="J141" s="3" t="str">
        <f>IF(Tabla1[[#This Row],[Fecha de Vencimiento]]="","",IF(K141&lt;0,"Vencido hace "&amp;K141*-1&amp;" días",IF(K141=0,"Vence hoy",K141&amp;" dias por Vencer")))</f>
        <v>362 dias por Vencer</v>
      </c>
      <c r="K141" s="3">
        <f>IF(Tabla1[[#This Row],[Fecha de Vencimiento]]="","",I141-G141)</f>
        <v>362</v>
      </c>
    </row>
    <row r="142" spans="1:11" x14ac:dyDescent="0.25">
      <c r="A142" t="s">
        <v>409</v>
      </c>
      <c r="B142">
        <v>138</v>
      </c>
      <c r="C142" t="s">
        <v>403</v>
      </c>
      <c r="E142" t="s">
        <v>407</v>
      </c>
      <c r="F142" t="s">
        <v>408</v>
      </c>
      <c r="G142" s="4">
        <v>44564</v>
      </c>
      <c r="H142">
        <v>364</v>
      </c>
      <c r="I142" s="4">
        <v>44926</v>
      </c>
      <c r="J142" s="3" t="str">
        <f>IF(Tabla1[[#This Row],[Fecha de Vencimiento]]="","",IF(K142&lt;0,"Vencido hace "&amp;K142*-1&amp;" días",IF(K142=0,"Vence hoy",K142&amp;" dias por Vencer")))</f>
        <v>362 dias por Vencer</v>
      </c>
      <c r="K142" s="3">
        <f>IF(Tabla1[[#This Row],[Fecha de Vencimiento]]="","",I142-G142)</f>
        <v>362</v>
      </c>
    </row>
    <row r="143" spans="1:11" x14ac:dyDescent="0.25">
      <c r="A143" t="s">
        <v>411</v>
      </c>
      <c r="B143">
        <v>139</v>
      </c>
      <c r="C143" t="s">
        <v>70</v>
      </c>
      <c r="E143" t="s">
        <v>410</v>
      </c>
      <c r="F143" t="s">
        <v>179</v>
      </c>
      <c r="G143" s="4">
        <v>44564</v>
      </c>
      <c r="H143">
        <v>364</v>
      </c>
      <c r="I143" s="4">
        <v>44926</v>
      </c>
      <c r="J143" s="3" t="str">
        <f>IF(Tabla1[[#This Row],[Fecha de Vencimiento]]="","",IF(K143&lt;0,"Vencido hace "&amp;K143*-1&amp;" días",IF(K143=0,"Vence hoy",K143&amp;" dias por Vencer")))</f>
        <v>362 dias por Vencer</v>
      </c>
      <c r="K143" s="3">
        <f>IF(Tabla1[[#This Row],[Fecha de Vencimiento]]="","",I143-G143)</f>
        <v>362</v>
      </c>
    </row>
    <row r="144" spans="1:11" x14ac:dyDescent="0.25">
      <c r="A144" t="s">
        <v>414</v>
      </c>
      <c r="B144">
        <v>140</v>
      </c>
      <c r="C144" t="s">
        <v>403</v>
      </c>
      <c r="E144" t="s">
        <v>412</v>
      </c>
      <c r="F144" t="s">
        <v>413</v>
      </c>
      <c r="G144" s="4">
        <v>44564</v>
      </c>
      <c r="H144">
        <v>364</v>
      </c>
      <c r="I144" s="4">
        <v>44926</v>
      </c>
      <c r="J144" s="3" t="str">
        <f>IF(Tabla1[[#This Row],[Fecha de Vencimiento]]="","",IF(K144&lt;0,"Vencido hace "&amp;K144*-1&amp;" días",IF(K144=0,"Vence hoy",K144&amp;" dias por Vencer")))</f>
        <v>362 dias por Vencer</v>
      </c>
      <c r="K144" s="3">
        <f>IF(Tabla1[[#This Row],[Fecha de Vencimiento]]="","",I144-G144)</f>
        <v>362</v>
      </c>
    </row>
    <row r="145" spans="7:11" x14ac:dyDescent="0.25">
      <c r="G145" s="4"/>
      <c r="I145" s="4" t="str">
        <f>IF(Tabla1[[#This Row],[Fecha]]="","",G145+H145)</f>
        <v/>
      </c>
      <c r="J145" s="3" t="str">
        <f>IF(Tabla1[[#This Row],[Fecha de Vencimiento]]="","",IF(K145&lt;0,"Vencido hace "&amp;K145*-1&amp;" días",IF(K145=0,"Vence hoy",K145&amp;" dias por Vencer")))</f>
        <v/>
      </c>
      <c r="K145" s="3" t="str">
        <f>IF(Tabla1[[#This Row],[Fecha de Vencimiento]]="","",I145-G145)</f>
        <v/>
      </c>
    </row>
    <row r="146" spans="7:11" x14ac:dyDescent="0.25">
      <c r="G146" s="4"/>
      <c r="I146" s="4" t="str">
        <f>IF(Tabla1[[#This Row],[Fecha]]="","",G146+H146)</f>
        <v/>
      </c>
      <c r="J146" s="3" t="str">
        <f>IF(Tabla1[[#This Row],[Fecha de Vencimiento]]="","",IF(K146&lt;0,"Vencido hace "&amp;K146*-1&amp;" días",IF(K146=0,"Vence hoy",K146&amp;" dias por Vencer")))</f>
        <v/>
      </c>
      <c r="K146" s="3" t="str">
        <f>IF(Tabla1[[#This Row],[Fecha de Vencimiento]]="","",I146-G146)</f>
        <v/>
      </c>
    </row>
    <row r="147" spans="7:11" x14ac:dyDescent="0.25">
      <c r="G147" s="4"/>
      <c r="I147" s="4" t="str">
        <f>IF(Tabla1[[#This Row],[Fecha]]="","",G147+H147)</f>
        <v/>
      </c>
      <c r="J147" s="3" t="str">
        <f>IF(Tabla1[[#This Row],[Fecha de Vencimiento]]="","",IF(K147&lt;0,"Vencido hace "&amp;K147*-1&amp;" días",IF(K147=0,"Vence hoy",K147&amp;" dias por Vencer")))</f>
        <v/>
      </c>
      <c r="K147" s="3" t="str">
        <f>IF(Tabla1[[#This Row],[Fecha de Vencimiento]]="","",I147-G147)</f>
        <v/>
      </c>
    </row>
    <row r="148" spans="7:11" x14ac:dyDescent="0.25">
      <c r="G148" s="4"/>
      <c r="I148" s="4" t="str">
        <f>IF(Tabla1[[#This Row],[Fecha]]="","",G148+H148)</f>
        <v/>
      </c>
      <c r="J148" s="3" t="str">
        <f>IF(Tabla1[[#This Row],[Fecha de Vencimiento]]="","",IF(K148&lt;0,"Vencido hace "&amp;K148*-1&amp;" días",IF(K148=0,"Vence hoy",K148&amp;" dias por Vencer")))</f>
        <v/>
      </c>
      <c r="K148" s="3" t="str">
        <f>IF(Tabla1[[#This Row],[Fecha de Vencimiento]]="","",I148-G148)</f>
        <v/>
      </c>
    </row>
    <row r="149" spans="7:11" x14ac:dyDescent="0.25">
      <c r="G149" s="4"/>
      <c r="I149" s="4" t="str">
        <f>IF(Tabla1[[#This Row],[Fecha]]="","",G149+H149)</f>
        <v/>
      </c>
      <c r="J149" s="3" t="str">
        <f>IF(Tabla1[[#This Row],[Fecha de Vencimiento]]="","",IF(K149&lt;0,"Vencido hace "&amp;K149*-1&amp;" días",IF(K149=0,"Vence hoy",K149&amp;" dias por Vencer")))</f>
        <v/>
      </c>
      <c r="K149" s="3" t="str">
        <f>IF(Tabla1[[#This Row],[Fecha de Vencimiento]]="","",I149-G149)</f>
        <v/>
      </c>
    </row>
    <row r="150" spans="7:11" x14ac:dyDescent="0.25">
      <c r="G150" s="4"/>
      <c r="I150" s="4" t="str">
        <f>IF(Tabla1[[#This Row],[Fecha]]="","",G150+H150)</f>
        <v/>
      </c>
      <c r="J150" s="3" t="str">
        <f>IF(Tabla1[[#This Row],[Fecha de Vencimiento]]="","",IF(K150&lt;0,"Vencido hace "&amp;K150*-1&amp;" días",IF(K150=0,"Vence hoy",K150&amp;" dias por Vencer")))</f>
        <v/>
      </c>
      <c r="K150" s="3" t="str">
        <f>IF(Tabla1[[#This Row],[Fecha de Vencimiento]]="","",I150-G150)</f>
        <v/>
      </c>
    </row>
    <row r="151" spans="7:11" x14ac:dyDescent="0.25">
      <c r="G151" s="4"/>
      <c r="I151" s="4" t="str">
        <f>IF(Tabla1[[#This Row],[Fecha]]="","",G151+H151)</f>
        <v/>
      </c>
      <c r="J151" s="3" t="str">
        <f>IF(Tabla1[[#This Row],[Fecha de Vencimiento]]="","",IF(K151&lt;0,"Vencido hace "&amp;K151*-1&amp;" días",IF(K151=0,"Vence hoy",K151&amp;" dias por Vencer")))</f>
        <v/>
      </c>
      <c r="K151" s="3" t="str">
        <f>IF(Tabla1[[#This Row],[Fecha de Vencimiento]]="","",I151-G151)</f>
        <v/>
      </c>
    </row>
    <row r="152" spans="7:11" x14ac:dyDescent="0.25">
      <c r="G152" s="4"/>
      <c r="I152" s="4" t="str">
        <f>IF(Tabla1[[#This Row],[Fecha]]="","",G152+H152)</f>
        <v/>
      </c>
      <c r="J152" s="3" t="str">
        <f>IF(Tabla1[[#This Row],[Fecha de Vencimiento]]="","",IF(K152&lt;0,"Vencido hace "&amp;K152*-1&amp;" días",IF(K152=0,"Vence hoy",K152&amp;" dias por Vencer")))</f>
        <v/>
      </c>
      <c r="K152" s="3" t="str">
        <f>IF(Tabla1[[#This Row],[Fecha de Vencimiento]]="","",I152-G152)</f>
        <v/>
      </c>
    </row>
    <row r="153" spans="7:11" x14ac:dyDescent="0.25">
      <c r="G153" s="4"/>
      <c r="I153" s="4" t="str">
        <f>IF(Tabla1[[#This Row],[Fecha]]="","",G153+H153)</f>
        <v/>
      </c>
      <c r="J153" s="3" t="str">
        <f>IF(Tabla1[[#This Row],[Fecha de Vencimiento]]="","",IF(K153&lt;0,"Vencido hace "&amp;K153*-1&amp;" días",IF(K153=0,"Vence hoy",K153&amp;" dias por Vencer")))</f>
        <v/>
      </c>
      <c r="K153" s="3" t="str">
        <f>IF(Tabla1[[#This Row],[Fecha de Vencimiento]]="","",I153-G153)</f>
        <v/>
      </c>
    </row>
  </sheetData>
  <autoFilter ref="A4:A92"/>
  <conditionalFormatting sqref="K5:K89 K91:K95 K97:K100 K102:K110 K114 K118:K153">
    <cfRule type="iconSet" priority="14">
      <iconSet>
        <cfvo type="percent" val="0"/>
        <cfvo type="num" val="15"/>
        <cfvo type="num" val="30"/>
      </iconSet>
    </cfRule>
  </conditionalFormatting>
  <conditionalFormatting sqref="K89">
    <cfRule type="iconSet" priority="11">
      <iconSet>
        <cfvo type="percent" val="0"/>
        <cfvo type="num" val="15"/>
        <cfvo type="num" val="30"/>
      </iconSet>
    </cfRule>
  </conditionalFormatting>
  <conditionalFormatting sqref="K90">
    <cfRule type="iconSet" priority="10">
      <iconSet>
        <cfvo type="percent" val="0"/>
        <cfvo type="num" val="15"/>
        <cfvo type="num" val="30"/>
      </iconSet>
    </cfRule>
  </conditionalFormatting>
  <conditionalFormatting sqref="K90">
    <cfRule type="iconSet" priority="9">
      <iconSet>
        <cfvo type="percent" val="0"/>
        <cfvo type="num" val="15"/>
        <cfvo type="num" val="30"/>
      </iconSet>
    </cfRule>
  </conditionalFormatting>
  <conditionalFormatting sqref="K96">
    <cfRule type="iconSet" priority="8">
      <iconSet>
        <cfvo type="percent" val="0"/>
        <cfvo type="num" val="15"/>
        <cfvo type="num" val="30"/>
      </iconSet>
    </cfRule>
  </conditionalFormatting>
  <conditionalFormatting sqref="K101">
    <cfRule type="iconSet" priority="7">
      <iconSet>
        <cfvo type="percent" val="0"/>
        <cfvo type="num" val="15"/>
        <cfvo type="num" val="30"/>
      </iconSet>
    </cfRule>
  </conditionalFormatting>
  <conditionalFormatting sqref="K111">
    <cfRule type="iconSet" priority="6">
      <iconSet>
        <cfvo type="percent" val="0"/>
        <cfvo type="num" val="15"/>
        <cfvo type="num" val="30"/>
      </iconSet>
    </cfRule>
  </conditionalFormatting>
  <conditionalFormatting sqref="K112">
    <cfRule type="iconSet" priority="5">
      <iconSet>
        <cfvo type="percent" val="0"/>
        <cfvo type="num" val="15"/>
        <cfvo type="num" val="30"/>
      </iconSet>
    </cfRule>
  </conditionalFormatting>
  <conditionalFormatting sqref="K113">
    <cfRule type="iconSet" priority="4">
      <iconSet>
        <cfvo type="percent" val="0"/>
        <cfvo type="num" val="15"/>
        <cfvo type="num" val="30"/>
      </iconSet>
    </cfRule>
  </conditionalFormatting>
  <conditionalFormatting sqref="K115">
    <cfRule type="iconSet" priority="3">
      <iconSet>
        <cfvo type="percent" val="0"/>
        <cfvo type="num" val="15"/>
        <cfvo type="num" val="30"/>
      </iconSet>
    </cfRule>
  </conditionalFormatting>
  <conditionalFormatting sqref="K116">
    <cfRule type="iconSet" priority="2">
      <iconSet>
        <cfvo type="percent" val="0"/>
        <cfvo type="num" val="15"/>
        <cfvo type="num" val="30"/>
      </iconSet>
    </cfRule>
  </conditionalFormatting>
  <conditionalFormatting sqref="K117">
    <cfRule type="iconSet" priority="1">
      <iconSet>
        <cfvo type="percent" val="0"/>
        <cfvo type="num" val="15"/>
        <cfvo type="num" val="30"/>
      </iconSet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K6"/>
  <sheetViews>
    <sheetView workbookViewId="0">
      <selection activeCell="I14" sqref="I14"/>
    </sheetView>
  </sheetViews>
  <sheetFormatPr baseColWidth="10" defaultRowHeight="15" x14ac:dyDescent="0.25"/>
  <cols>
    <col min="2" max="2" width="13.85546875" customWidth="1"/>
    <col min="5" max="5" width="12.5703125" customWidth="1"/>
    <col min="6" max="6" width="22.42578125" bestFit="1" customWidth="1"/>
    <col min="7" max="7" width="10.7109375" bestFit="1" customWidth="1"/>
    <col min="8" max="8" width="12.5703125" customWidth="1"/>
    <col min="9" max="9" width="22.85546875" customWidth="1"/>
    <col min="10" max="10" width="28.140625" customWidth="1"/>
    <col min="11" max="11" width="15.85546875" customWidth="1"/>
  </cols>
  <sheetData>
    <row r="1" spans="2:11" x14ac:dyDescent="0.25">
      <c r="E1" t="s">
        <v>14</v>
      </c>
      <c r="F1" t="s">
        <v>15</v>
      </c>
      <c r="G1" t="s">
        <v>16</v>
      </c>
    </row>
    <row r="2" spans="2:11" x14ac:dyDescent="0.25">
      <c r="E2">
        <f ca="1">COUNTIF(Tabla13[días],"&lt;0")</f>
        <v>1</v>
      </c>
      <c r="F2">
        <f ca="1">COUNTIF(Tabla13[días],"=0")</f>
        <v>0</v>
      </c>
      <c r="G2">
        <f ca="1">COUNTIF(Tabla13[días],"&gt;0")</f>
        <v>0</v>
      </c>
    </row>
    <row r="3" spans="2:11" x14ac:dyDescent="0.25">
      <c r="B3" s="2">
        <f ca="1">TODAY()</f>
        <v>44893</v>
      </c>
    </row>
    <row r="4" spans="2:11" x14ac:dyDescent="0.25">
      <c r="B4" t="s">
        <v>9</v>
      </c>
      <c r="C4" t="s">
        <v>0</v>
      </c>
      <c r="D4" t="s">
        <v>1</v>
      </c>
      <c r="E4" t="s">
        <v>2</v>
      </c>
      <c r="F4" t="s">
        <v>3</v>
      </c>
      <c r="G4" t="s">
        <v>4</v>
      </c>
      <c r="H4" t="s">
        <v>5</v>
      </c>
      <c r="I4" t="s">
        <v>6</v>
      </c>
      <c r="J4" t="s">
        <v>7</v>
      </c>
      <c r="K4" t="s">
        <v>8</v>
      </c>
    </row>
    <row r="5" spans="2:11" x14ac:dyDescent="0.25">
      <c r="B5">
        <v>2</v>
      </c>
      <c r="C5" t="s">
        <v>10</v>
      </c>
      <c r="D5" t="s">
        <v>11</v>
      </c>
      <c r="E5" t="s">
        <v>12</v>
      </c>
      <c r="F5" t="s">
        <v>13</v>
      </c>
      <c r="G5" s="1">
        <v>44217</v>
      </c>
      <c r="H5">
        <v>364</v>
      </c>
      <c r="I5" s="1">
        <f>IF(Tabla13[[#This Row],[Fecha]]="","",G5+H5)</f>
        <v>44581</v>
      </c>
      <c r="J5" t="str">
        <f ca="1">IF(Tabla13[[#This Row],[Fecha de Vencimiento]]="","",IF(K5&lt;0,"Vencido hace "&amp;K5*-1&amp;" días",IF(K5=0,"Vence hoy",K5&amp;" dias por Vencer")))</f>
        <v>Vencido hace 312 días</v>
      </c>
      <c r="K5">
        <f ca="1">IF(Tabla13[[#This Row],[Fecha de Vencimiento]]="","",I5-$B$3)</f>
        <v>-312</v>
      </c>
    </row>
    <row r="6" spans="2:11" x14ac:dyDescent="0.25">
      <c r="G6" s="1"/>
      <c r="I6" s="1"/>
      <c r="J6" s="3"/>
      <c r="K6" s="3"/>
    </row>
  </sheetData>
  <conditionalFormatting sqref="K5:K6">
    <cfRule type="iconSet" priority="2">
      <iconSet>
        <cfvo type="percent" val="0"/>
        <cfvo type="num" val="15"/>
        <cfvo type="num" val="30"/>
      </iconSet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32"/>
  <sheetViews>
    <sheetView topLeftCell="A19" workbookViewId="0">
      <selection activeCell="B6" sqref="B6"/>
    </sheetView>
  </sheetViews>
  <sheetFormatPr baseColWidth="10" defaultRowHeight="15" x14ac:dyDescent="0.25"/>
  <cols>
    <col min="2" max="2" width="40" bestFit="1" customWidth="1"/>
  </cols>
  <sheetData>
    <row r="2" spans="2:2" x14ac:dyDescent="0.25">
      <c r="B2" t="s">
        <v>356</v>
      </c>
    </row>
    <row r="3" spans="2:2" x14ac:dyDescent="0.25">
      <c r="B3" t="s">
        <v>362</v>
      </c>
    </row>
    <row r="4" spans="2:2" x14ac:dyDescent="0.25">
      <c r="B4" t="s">
        <v>368</v>
      </c>
    </row>
    <row r="5" spans="2:2" x14ac:dyDescent="0.25">
      <c r="B5" t="s">
        <v>359</v>
      </c>
    </row>
    <row r="6" spans="2:2" x14ac:dyDescent="0.25">
      <c r="B6" t="s">
        <v>352</v>
      </c>
    </row>
    <row r="7" spans="2:2" x14ac:dyDescent="0.25">
      <c r="B7" t="s">
        <v>370</v>
      </c>
    </row>
    <row r="8" spans="2:2" x14ac:dyDescent="0.25">
      <c r="B8" t="s">
        <v>375</v>
      </c>
    </row>
    <row r="9" spans="2:2" x14ac:dyDescent="0.25">
      <c r="B9" t="s">
        <v>366</v>
      </c>
    </row>
    <row r="10" spans="2:2" x14ac:dyDescent="0.25">
      <c r="B10" t="s">
        <v>360</v>
      </c>
    </row>
    <row r="11" spans="2:2" x14ac:dyDescent="0.25">
      <c r="B11" t="s">
        <v>348</v>
      </c>
    </row>
    <row r="12" spans="2:2" x14ac:dyDescent="0.25">
      <c r="B12" t="s">
        <v>345</v>
      </c>
    </row>
    <row r="13" spans="2:2" x14ac:dyDescent="0.25">
      <c r="B13" t="s">
        <v>350</v>
      </c>
    </row>
    <row r="14" spans="2:2" x14ac:dyDescent="0.25">
      <c r="B14" t="s">
        <v>364</v>
      </c>
    </row>
    <row r="15" spans="2:2" x14ac:dyDescent="0.25">
      <c r="B15" t="s">
        <v>357</v>
      </c>
    </row>
    <row r="16" spans="2:2" x14ac:dyDescent="0.25">
      <c r="B16" t="s">
        <v>346</v>
      </c>
    </row>
    <row r="17" spans="2:2" x14ac:dyDescent="0.25">
      <c r="B17" t="s">
        <v>351</v>
      </c>
    </row>
    <row r="18" spans="2:2" x14ac:dyDescent="0.25">
      <c r="B18" t="s">
        <v>355</v>
      </c>
    </row>
    <row r="19" spans="2:2" x14ac:dyDescent="0.25">
      <c r="B19" t="s">
        <v>363</v>
      </c>
    </row>
    <row r="20" spans="2:2" x14ac:dyDescent="0.25">
      <c r="B20" t="s">
        <v>353</v>
      </c>
    </row>
    <row r="21" spans="2:2" x14ac:dyDescent="0.25">
      <c r="B21" t="s">
        <v>354</v>
      </c>
    </row>
    <row r="22" spans="2:2" x14ac:dyDescent="0.25">
      <c r="B22" t="s">
        <v>371</v>
      </c>
    </row>
    <row r="23" spans="2:2" x14ac:dyDescent="0.25">
      <c r="B23" t="s">
        <v>365</v>
      </c>
    </row>
    <row r="24" spans="2:2" x14ac:dyDescent="0.25">
      <c r="B24" t="s">
        <v>372</v>
      </c>
    </row>
    <row r="25" spans="2:2" x14ac:dyDescent="0.25">
      <c r="B25" t="s">
        <v>373</v>
      </c>
    </row>
    <row r="26" spans="2:2" x14ac:dyDescent="0.25">
      <c r="B26" t="s">
        <v>369</v>
      </c>
    </row>
    <row r="27" spans="2:2" x14ac:dyDescent="0.25">
      <c r="B27" t="s">
        <v>349</v>
      </c>
    </row>
    <row r="28" spans="2:2" x14ac:dyDescent="0.25">
      <c r="B28" t="s">
        <v>358</v>
      </c>
    </row>
    <row r="29" spans="2:2" x14ac:dyDescent="0.25">
      <c r="B29" t="s">
        <v>367</v>
      </c>
    </row>
    <row r="30" spans="2:2" x14ac:dyDescent="0.25">
      <c r="B30" t="s">
        <v>374</v>
      </c>
    </row>
    <row r="31" spans="2:2" x14ac:dyDescent="0.25">
      <c r="B31" t="s">
        <v>361</v>
      </c>
    </row>
    <row r="32" spans="2:2" x14ac:dyDescent="0.25">
      <c r="B32" t="s">
        <v>347</v>
      </c>
    </row>
  </sheetData>
  <sortState ref="B2:B32">
    <sortCondition ref="B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>
    <row r="1" spans="1:1" x14ac:dyDescent="0.25">
      <c r="A1" t="s">
        <v>345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"/>
  <sheetViews>
    <sheetView workbookViewId="0">
      <selection activeCell="A12" sqref="A12"/>
    </sheetView>
  </sheetViews>
  <sheetFormatPr baseColWidth="10" defaultRowHeight="15" x14ac:dyDescent="0.25"/>
  <cols>
    <col min="1" max="1" width="43.28515625" bestFit="1" customWidth="1"/>
  </cols>
  <sheetData>
    <row r="1" spans="1:3" x14ac:dyDescent="0.25">
      <c r="A1" t="s">
        <v>384</v>
      </c>
    </row>
    <row r="2" spans="1:3" x14ac:dyDescent="0.25">
      <c r="A2" t="s">
        <v>385</v>
      </c>
    </row>
    <row r="3" spans="1:3" x14ac:dyDescent="0.25">
      <c r="A3" t="s">
        <v>386</v>
      </c>
    </row>
    <row r="4" spans="1:3" x14ac:dyDescent="0.25">
      <c r="A4" t="s">
        <v>387</v>
      </c>
      <c r="B4" t="s">
        <v>388</v>
      </c>
      <c r="C4" t="s">
        <v>389</v>
      </c>
    </row>
    <row r="5" spans="1:3" x14ac:dyDescent="0.25">
      <c r="A5" t="s">
        <v>390</v>
      </c>
      <c r="C5" t="s">
        <v>391</v>
      </c>
    </row>
    <row r="6" spans="1:3" x14ac:dyDescent="0.25">
      <c r="A6" t="s">
        <v>392</v>
      </c>
    </row>
    <row r="7" spans="1:3" x14ac:dyDescent="0.25">
      <c r="A7" t="s">
        <v>393</v>
      </c>
      <c r="B7" t="s">
        <v>394</v>
      </c>
    </row>
    <row r="8" spans="1:3" x14ac:dyDescent="0.25">
      <c r="A8" t="s">
        <v>395</v>
      </c>
      <c r="B8" t="s">
        <v>396</v>
      </c>
    </row>
    <row r="9" spans="1:3" x14ac:dyDescent="0.25">
      <c r="A9" t="s">
        <v>397</v>
      </c>
    </row>
    <row r="10" spans="1:3" x14ac:dyDescent="0.25">
      <c r="A10" t="s">
        <v>398</v>
      </c>
    </row>
    <row r="11" spans="1:3" x14ac:dyDescent="0.25">
      <c r="A11" t="s">
        <v>399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Vigentes</vt:lpstr>
      <vt:lpstr>Historico</vt:lpstr>
      <vt:lpstr>entregados a gaby</vt:lpstr>
      <vt:lpstr>faltan autorizados</vt:lpstr>
      <vt:lpstr>Hoja1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Matamoros</dc:creator>
  <cp:lastModifiedBy>Carlos Sanchez</cp:lastModifiedBy>
  <cp:lastPrinted>2022-11-28T17:05:57Z</cp:lastPrinted>
  <dcterms:created xsi:type="dcterms:W3CDTF">2022-03-11T16:41:16Z</dcterms:created>
  <dcterms:modified xsi:type="dcterms:W3CDTF">2022-11-28T17:06:52Z</dcterms:modified>
</cp:coreProperties>
</file>