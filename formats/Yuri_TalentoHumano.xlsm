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A38B7576-7017-4C9F-B5D5-2D3F82F477D8}" xr6:coauthVersionLast="47" xr6:coauthVersionMax="47" xr10:uidLastSave="{00000000-0000-0000-0000-000000000000}"/>
  <bookViews>
    <workbookView xWindow="-120" yWindow="-120" windowWidth="29040" windowHeight="15840" activeTab="2" xr2:uid="{00000000-000D-0000-FFFF-FFFF00000000}"/>
  </bookViews>
  <sheets>
    <sheet name="Vista" sheetId="3" r:id="rId1"/>
    <sheet name="Base de Datos" sheetId="2" r:id="rId2"/>
    <sheet name="Vacaciones" sheetId="1" r:id="rId3"/>
    <sheet name="Opciones" sheetId="4" state="hidden" r:id="rId4"/>
  </sheets>
  <functionGroups builtInGroupCount="19"/>
  <definedNames>
    <definedName name="_xlnm._FilterDatabase" localSheetId="1" hidden="1">'Base de Datos'!$A$2:$V$2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U20" i="2" l="1"/>
  <c r="U15" i="2"/>
  <c r="U17" i="2"/>
  <c r="U18" i="2"/>
  <c r="U19" i="2"/>
  <c r="U21" i="2"/>
  <c r="U22" i="2"/>
  <c r="U23" i="2"/>
  <c r="U24" i="2"/>
  <c r="U25" i="2"/>
  <c r="U26" i="2"/>
  <c r="U27" i="2"/>
  <c r="U28" i="2"/>
  <c r="U29" i="2"/>
  <c r="U30" i="2"/>
  <c r="U31" i="2"/>
  <c r="U32" i="2"/>
  <c r="U3" i="2"/>
  <c r="U4" i="2"/>
  <c r="U5" i="2"/>
  <c r="U6" i="2"/>
  <c r="U7" i="2"/>
  <c r="U8" i="2"/>
  <c r="U9" i="2"/>
  <c r="U10" i="2"/>
  <c r="U11" i="2"/>
  <c r="U12" i="2"/>
  <c r="U13" i="2"/>
  <c r="U14" i="2"/>
  <c r="U16" i="2"/>
  <c r="U33" i="2"/>
  <c r="U34" i="2"/>
  <c r="U35" i="2"/>
  <c r="U36" i="2"/>
  <c r="U37" i="2"/>
  <c r="U38" i="2"/>
  <c r="U40" i="2"/>
  <c r="U42" i="2"/>
  <c r="U44" i="2"/>
  <c r="U46" i="2"/>
  <c r="U48" i="2"/>
  <c r="U50" i="2"/>
  <c r="U52" i="2"/>
  <c r="U54" i="2"/>
  <c r="U56" i="2"/>
  <c r="U58" i="2"/>
  <c r="U60" i="2"/>
  <c r="U62" i="2"/>
  <c r="U64" i="2"/>
  <c r="U66" i="2"/>
  <c r="U39" i="2"/>
  <c r="U41" i="2"/>
  <c r="U43" i="2"/>
  <c r="U45" i="2"/>
  <c r="U47" i="2"/>
  <c r="U49" i="2"/>
  <c r="U51" i="2"/>
  <c r="U53" i="2"/>
  <c r="U55" i="2"/>
  <c r="U57" i="2"/>
  <c r="U59" i="2"/>
  <c r="U61" i="2"/>
  <c r="U63" i="2"/>
  <c r="U65"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E53" i="3" l="1"/>
  <c r="C53" i="3"/>
  <c r="G56" i="1" l="1"/>
  <c r="I23" i="3" l="1"/>
</calcChain>
</file>

<file path=xl/sharedStrings.xml><?xml version="1.0" encoding="utf-8"?>
<sst xmlns="http://schemas.openxmlformats.org/spreadsheetml/2006/main" count="1154" uniqueCount="615">
  <si>
    <t xml:space="preserve"> </t>
  </si>
  <si>
    <t>GOBIERNO AUTONOMO DESCENTRALIZADO PROVINCIAL DE EL ORO</t>
  </si>
  <si>
    <t>ACCION DE PERSONAL</t>
  </si>
  <si>
    <t xml:space="preserve">No. </t>
  </si>
  <si>
    <t>Fecha:</t>
  </si>
  <si>
    <t>DECRETO</t>
  </si>
  <si>
    <t xml:space="preserve">ACUERDO             </t>
  </si>
  <si>
    <t>RESOLUCION</t>
  </si>
  <si>
    <t xml:space="preserve">NO. </t>
  </si>
  <si>
    <t>FECHA:</t>
  </si>
  <si>
    <t>APELLIDOS</t>
  </si>
  <si>
    <t>NOMBRES</t>
  </si>
  <si>
    <t>No. de Cédula de Ciudadanía</t>
  </si>
  <si>
    <t>Rige a partir de:</t>
  </si>
  <si>
    <t xml:space="preserve">EXPLICACIÓN: </t>
  </si>
  <si>
    <t>VACACIONES 2022</t>
  </si>
  <si>
    <t>USO DE VACACIONES</t>
  </si>
  <si>
    <t>PENDIENTES</t>
  </si>
  <si>
    <t>INGRESO</t>
  </si>
  <si>
    <t>TRASLADO</t>
  </si>
  <si>
    <t>REVALORIZACION</t>
  </si>
  <si>
    <t>SUPRESION</t>
  </si>
  <si>
    <t>NOMBRAMIENTO</t>
  </si>
  <si>
    <t>TRASPASO</t>
  </si>
  <si>
    <t>RECLASIFICACION</t>
  </si>
  <si>
    <t>DESTITUCION</t>
  </si>
  <si>
    <t>ASCENSO</t>
  </si>
  <si>
    <t>CAMBIO ADMINISTRATIVO</t>
  </si>
  <si>
    <t>UBICACION</t>
  </si>
  <si>
    <t>REMOCION</t>
  </si>
  <si>
    <t>SUBROGACION</t>
  </si>
  <si>
    <t>INTERCAMBIO</t>
  </si>
  <si>
    <t>REINTEGRO</t>
  </si>
  <si>
    <t>JUBILACION</t>
  </si>
  <si>
    <t>ENCARGO</t>
  </si>
  <si>
    <t>COMISION DE SERVICIOS</t>
  </si>
  <si>
    <t>RESTITUCION</t>
  </si>
  <si>
    <t>OTRO</t>
  </si>
  <si>
    <t>VACACIONES</t>
  </si>
  <si>
    <t>LICENCIA</t>
  </si>
  <si>
    <t>RENUNCIA</t>
  </si>
  <si>
    <t>SITUACION ACTUAL</t>
  </si>
  <si>
    <t>SITUACION PROPUESTA</t>
  </si>
  <si>
    <t>PROCESO:</t>
  </si>
  <si>
    <t xml:space="preserve">PROCESO: </t>
  </si>
  <si>
    <t>SUBPROCESO:</t>
  </si>
  <si>
    <t>PUESTO:</t>
  </si>
  <si>
    <t>LUGAR DE TRABAJO:</t>
  </si>
  <si>
    <t>REMUNERACIÓN MENSUAL:</t>
  </si>
  <si>
    <t>SECRETARIA:</t>
  </si>
  <si>
    <t>PARTIDA PRESUPUESTARIA:</t>
  </si>
  <si>
    <t>SOLICITANTE</t>
  </si>
  <si>
    <t>PROCESO DE TALENTO HUMANO</t>
  </si>
  <si>
    <t>ING. LUISA MARIN AGUILAR</t>
  </si>
  <si>
    <t xml:space="preserve"> Jefa de Unidad de Gestion Talento Humano</t>
  </si>
  <si>
    <t>DIOS, PATRIA Y LIBERTAD</t>
  </si>
  <si>
    <t xml:space="preserve">ABG.LILIANA MARQUEZ ORDOÑEZ </t>
  </si>
  <si>
    <t>DELEGADA DE LA MAXIMA AUTORIDAD</t>
  </si>
  <si>
    <t>REGISTRO Y CONTROL</t>
  </si>
  <si>
    <t>YURI SEGURA MENDEZ</t>
  </si>
  <si>
    <t>ASISTENTE DE GESTION DE TALENTO HUMANO</t>
  </si>
  <si>
    <r>
      <t xml:space="preserve">                                                                                                                                                                           </t>
    </r>
    <r>
      <rPr>
        <b/>
        <sz val="9"/>
        <color theme="1"/>
        <rFont val="Calibri"/>
        <family val="2"/>
      </rPr>
      <t xml:space="preserve"> Responsable del Registro</t>
    </r>
  </si>
  <si>
    <t xml:space="preserve">LUGAR DE TRABAJO: </t>
  </si>
  <si>
    <t>GOBIERNO AUTONÓMO DESCENTRALIZADO PROVINCIAL DE EL ORO</t>
  </si>
  <si>
    <t>DIRECCION TALENTO HUMANO</t>
  </si>
  <si>
    <t xml:space="preserve">N° </t>
  </si>
  <si>
    <t>CEDULA DE CIUDADANIA</t>
  </si>
  <si>
    <t>RIGE A PARTIR DE</t>
  </si>
  <si>
    <t>EXPLICACIÓN</t>
  </si>
  <si>
    <t>PROCESO</t>
  </si>
  <si>
    <t>SUBPROCESO</t>
  </si>
  <si>
    <t>PUESTO</t>
  </si>
  <si>
    <t>LUGAR DE TRABAJO</t>
  </si>
  <si>
    <t>REMUNERACIÓN MENSUAL</t>
  </si>
  <si>
    <t>SECRETARIA</t>
  </si>
  <si>
    <t>PARTIDA PRESUPUESTARIA</t>
  </si>
  <si>
    <t>N°</t>
  </si>
  <si>
    <t xml:space="preserve">CEDULA </t>
  </si>
  <si>
    <t>RIGE A PARTIR</t>
  </si>
  <si>
    <t>EXPLICACION</t>
  </si>
  <si>
    <t>REMUNERACION MENSUAL</t>
  </si>
  <si>
    <t xml:space="preserve">VACACIONES </t>
  </si>
  <si>
    <t>TOTAL</t>
  </si>
  <si>
    <t>2022-</t>
  </si>
  <si>
    <t>SERIAL</t>
  </si>
  <si>
    <t>MACHALA</t>
  </si>
  <si>
    <t>HUAQUILLAS</t>
  </si>
  <si>
    <t>PASAJE</t>
  </si>
  <si>
    <t>PIÑAS</t>
  </si>
  <si>
    <t>SANTA ROSA</t>
  </si>
  <si>
    <t>GUABO</t>
  </si>
  <si>
    <t>CUCA</t>
  </si>
  <si>
    <t>SERIAL:</t>
  </si>
  <si>
    <t>No. 2022-</t>
  </si>
  <si>
    <t xml:space="preserve">Fecha: </t>
  </si>
  <si>
    <t>CAUCION REGISTRADA CON N0.</t>
  </si>
  <si>
    <t xml:space="preserve">LA PERSONA REEMPLAZA A:  </t>
  </si>
  <si>
    <t xml:space="preserve">EN EL PUESTO DE:  </t>
  </si>
  <si>
    <t xml:space="preserve">QUIEN CESO EN FUNCIONES POR:  </t>
  </si>
  <si>
    <t xml:space="preserve">ACCION DE PERSONAL REGISTRADA CON </t>
  </si>
  <si>
    <t xml:space="preserve">FECHA:  </t>
  </si>
  <si>
    <t>AFILIACION AL COLEGIO DE PROFESIONALES DE</t>
  </si>
  <si>
    <t>NO.</t>
  </si>
  <si>
    <t>___________</t>
  </si>
  <si>
    <t>___________________________</t>
  </si>
  <si>
    <t>POSESION DEL CARGO</t>
  </si>
  <si>
    <t>YO, ___________________________________________</t>
  </si>
  <si>
    <t>CON CEDULA DE CIUDADANIA No.</t>
  </si>
  <si>
    <t>_____________________</t>
  </si>
  <si>
    <t>JURO LEALTAD AL ESTADO ECUATORIANO.</t>
  </si>
  <si>
    <t>LUGAR:</t>
  </si>
  <si>
    <t>________________________________________</t>
  </si>
  <si>
    <t>f) _______________________________________________</t>
  </si>
  <si>
    <t>f) ___________________________________________</t>
  </si>
  <si>
    <t>Funcionario</t>
  </si>
  <si>
    <t>Responsable de Talento Humano</t>
  </si>
  <si>
    <t>Fecha de creación de formato: 2019-08-28   /    Revisión: 00    /    Página 2 de 2.</t>
  </si>
  <si>
    <t xml:space="preserve">VITERI ORELLANA </t>
  </si>
  <si>
    <t>DIRECCION DE GESTION AMBIENTAL</t>
  </si>
  <si>
    <t>COMISARIA AMBIENTAL</t>
  </si>
  <si>
    <t>01.01.18.999.012.001.7.71.05.10.000.99.99.99.99.07.01.02.001.1309999</t>
  </si>
  <si>
    <t>|</t>
  </si>
  <si>
    <t>ILIANA NATIVIDAD</t>
  </si>
  <si>
    <t>4 DE ABRIL 2022</t>
  </si>
  <si>
    <t>COMISARIO AMBENTAL</t>
  </si>
  <si>
    <t>DIRECCION ADMINISTRATIVA</t>
  </si>
  <si>
    <t>LEON WONG</t>
  </si>
  <si>
    <t>JORGE KUND SAN</t>
  </si>
  <si>
    <t>UNIDAD DE MANEJO Y CONSERVACION AMBIENTAL</t>
  </si>
  <si>
    <t>JEFE DE PROYECTO</t>
  </si>
  <si>
    <t>03.03.01.002.001.001.7.71.05.10.000.02.04.03.01.07.01.50.001.1309999</t>
  </si>
  <si>
    <t xml:space="preserve">GOMEZ MENDOZA </t>
  </si>
  <si>
    <t>PABLO ANDRES</t>
  </si>
  <si>
    <t>De conformidad con el Art.23 lit,g)y 29de la LOSEP, GOMEZ MENDOZA PABLO ANDRES, gozará de 15 días de vacaciones,que regirán desde el dia 5 de abril hasta el 19 abril 2022,debiendo reintegrarse a sus labores el 20 abril del presente año.</t>
  </si>
  <si>
    <t>DIRECCION DE ATENCIÓN PRIORITARIA Y DESARROLLO SOCIAL</t>
  </si>
  <si>
    <t>BANANITO RICO</t>
  </si>
  <si>
    <t>AYUDANTE DE EQUIPO</t>
  </si>
  <si>
    <t>02.06.03.001.005.003.7.71.05.10.000.01.03.04.01.07.99.99.001.1309999</t>
  </si>
  <si>
    <t xml:space="preserve">VILLA BELTRAN </t>
  </si>
  <si>
    <t>VERONICA ALEXANDRA</t>
  </si>
  <si>
    <t>De conformidad con el Art.23 lit,g)y 29 de la LOSEP, VILLA BELTRAN VERONICA ALEXANDRA, gozará de 32 días de vacaciones,que regirán desde el dia 29 marzo hasta el 28 abril 2022,debiendo reintegrarse a sus labores el 29 de abril del presente año.</t>
  </si>
  <si>
    <t>DIRECCIÓN DE OBRAS PÚBLICAS Y VIALIDAD</t>
  </si>
  <si>
    <t>UNIDAD DE OBRAS PÚBLICAS Y VIALIDAD</t>
  </si>
  <si>
    <t>ANALISTA DE OBRAS PUBLICAS Y VIALIDAD 1</t>
  </si>
  <si>
    <t>01.01.14.999.012.002.7.71.01.05.000.99.99.99.99.07.01.02.001.1309999</t>
  </si>
  <si>
    <t>De conformidad con el Art.23 lit,g)y 29 de la LOSEP, LEON WONG JORGE KUND SAN, gozará de 15 días de vacaciones,que regirán desde el dia 18 enero hasta el 01 febrero 2022,debiendo reintegrarse a sus labores el 02 de febrero del presente año.</t>
  </si>
  <si>
    <t xml:space="preserve">JIMENEZ RAMON </t>
  </si>
  <si>
    <t>IRMA ADAMARIS</t>
  </si>
  <si>
    <t>De conformidad con el Art.23 lit,g)y 29de la LOSEP, JIMENEZ RAMON IRMA ADAMARIS, gozará de 15 días de vacaciones,que regirán desde el dia 4 abril hasta el 18 abril  2022,debiendo reintegrarse a sus labores el 19 abril del presente año.</t>
  </si>
  <si>
    <t>UNIDAD DE ATENCION PRIORITARIA Y ACCION SOCIAL</t>
  </si>
  <si>
    <t>LABORATORISTA</t>
  </si>
  <si>
    <t>01.01.19.999.012.003.7.71.01.05.000.99.99.99.99.07.01.02.001.1309999</t>
  </si>
  <si>
    <t xml:space="preserve">AGUILAR LUDEÑA </t>
  </si>
  <si>
    <t>DANIELA LUCILA</t>
  </si>
  <si>
    <t>De conformidad con el Art.23 lit,g)y 29de la LOSEP, AGUILAR LUDEÑA DANIELA LUCILA, gozará de 17 días de vacaciones,que regirán desde el dia 4 abril hasta el 20 abril  2022,debiendo reintegrarse a sus labores el 21 abril del presente año.</t>
  </si>
  <si>
    <t>PROCURADURIA SINDICA</t>
  </si>
  <si>
    <t>ASISTENTE DE PROCURADURIA SINDICA</t>
  </si>
  <si>
    <t>01.01.04.999.012.001.5.51.05.10.000.99.99.99.99.07.01.02.001.1309999</t>
  </si>
  <si>
    <t xml:space="preserve">ARAUJO CARRION </t>
  </si>
  <si>
    <t xml:space="preserve">MONICA DEL PILAR </t>
  </si>
  <si>
    <t>De conformidad con el Art.23 lit,g)y 29de la LOSEP, ARAUJO CARRION MONICA DE PILAR, gozará de 17 días de vacaciones,que regirán desde el dia 1 abril hasta el 17 abril  2022,debiendo reintegrarse a sus labores el 18 abril del presente año.</t>
  </si>
  <si>
    <t>JUVENTUD, INNOVACION Y LIDERAZGO</t>
  </si>
  <si>
    <t>TÉCNICO DE APOYO</t>
  </si>
  <si>
    <t>02.06.02.002.005.001.7.71.05.10.000.01.02.04.01.07.99.99.001.1309999</t>
  </si>
  <si>
    <t>GRUNAUER ZAMBRANO</t>
  </si>
  <si>
    <t xml:space="preserve">JOSELYN NICOLE </t>
  </si>
  <si>
    <t>De conformidad con el Art.23 lit,g)y 29de la LOSEP, GRUNAUER ZAMBRANO JOSELYN NICOLE, gozará de 25 días de vacaciones,que regirán desde el dia 19 mayo hasta el 12 junio 2022,debiendo reintegrarse a sus labores el 13 junio del presente año.</t>
  </si>
  <si>
    <t>UNIDAD  DE SERVICIOS GENERALES</t>
  </si>
  <si>
    <t>ANALISTA DE SERVICIOS GENERALES 1</t>
  </si>
  <si>
    <t>01.01.10.999.012.004.5.51.05.10.000.99.99.99.99.07.01.02.001.1309999</t>
  </si>
  <si>
    <t>SARMIENTO GRANDA</t>
  </si>
  <si>
    <t>WALTER MANUEL</t>
  </si>
  <si>
    <t>De conformidad con el Art.23 lit,g)y 29 de la LOSEP,SARMIENTO GRANDA WALTER MANUEL , gozará de 15 días de vacaciones,que regirán desde el dia 11 abril hasta el 25 abril 2022,debiendo reintegrarse a sus labores el 26 abril del presente año.</t>
  </si>
  <si>
    <t>ANALISTA DE CENTRO MEDICO 1</t>
  </si>
  <si>
    <t>ARROYO ORTIZ</t>
  </si>
  <si>
    <t>EULICES SEGUNDO</t>
  </si>
  <si>
    <t>De conformidad con el Art.23 lit,g)y 29de la LOSEP, ARROYO ORTIZ EULICES SEGUNDO, gozará de 14 días de vacaciones,que regirán desde el dia 18 abril hasta el 1 mayo 2022,debiendo reintegrarse a sus labores el 2 mayo del presente año.</t>
  </si>
  <si>
    <t>PROMOTOR</t>
  </si>
  <si>
    <t>De conformidad con el Art.23 lit,g)y 29de la LOSEP, VITERI ORELLANA ILIANA NATIVIDAD, gozará de 15 días de vacaciones,que regirán desde el dia 4 abril hasta el 18 abril  2022,debiendo reintegrarse a sus labores el 19 abril del presente año.</t>
  </si>
  <si>
    <t>LOAYZA CASTRO</t>
  </si>
  <si>
    <t>JENNIFER JOMAIRA</t>
  </si>
  <si>
    <t>De conformidad con el Art.23 lit,g)y 29de la LOSEP, LOAYZA CASTRO JENNIFER JOMAIRA, gozará de 15 días de vacaciones,que regirán desde el dia 4 abril hasta el 18 abril  2022,debiendo reintegrarse a sus labores el 19 abril del presente año.</t>
  </si>
  <si>
    <t xml:space="preserve">DIRECCION DE PLANIFICACION, PROCESO Y TECNOLOGIA </t>
  </si>
  <si>
    <t>UNIDAD DE TECNOLOGIA DE LA INFORMACION Y COMUNICACIÓN</t>
  </si>
  <si>
    <t>ANALISTA DE TECNOLOGIA DE INFORMACION Y COMUNICACIÓN 1</t>
  </si>
  <si>
    <t xml:space="preserve">DIRECCION DE PLANIFICACION, PROCESOS Y TECNOLOGIA </t>
  </si>
  <si>
    <t>01.01.05.999.012.004.5.51.05.10.000.99.99.99.99.07.01.02.001.1309999</t>
  </si>
  <si>
    <t>MORALES GUAICHA</t>
  </si>
  <si>
    <t>JOSE ANDRES</t>
  </si>
  <si>
    <t>ASISTENTE DE TECNOLOGIA DE INFORMACION Y COMUNICACIÓN</t>
  </si>
  <si>
    <t>UNIDAD DE TECNOLOGÍA DE LA INFORMACIÓN Y COMUNICACIÓN</t>
  </si>
  <si>
    <t>DIRECCIÓN DE PLANIFICACIÓN, PROCESOS Y TECNOLOGÍA</t>
  </si>
  <si>
    <t>01.01.05.999.012.004.5.51.01.05.000.99.99.99.99.07.01.02.001.1309999</t>
  </si>
  <si>
    <t>De conformidad con el Art.23 lit,g)y 29de la LOSEP, MORALES GUAICHA JOSE ANDRES, gozará de 12 días de vacaciones,que regirán desde el dia 7 de febrero hasta el 18 de febrero  2022,debiendo reintegrarse a sus labores el 20 de febrero del presente año.</t>
  </si>
  <si>
    <t xml:space="preserve">ARIADEL ZAMBRANO </t>
  </si>
  <si>
    <t>FRANCISCO JACINTO</t>
  </si>
  <si>
    <t>AUXILIAR ADMINISTRATIVO</t>
  </si>
  <si>
    <t>De conformidad con el Art.23 lit,g)y 29de la LOSEP, MORALES GUAICHA JOSE ANDRES, gozará de 11 días de vacaciones,que regirán desde el dia 13 de junio hasta el 23 de junio  2022,debiendo reintegrarse a sus labores el 24 de junio del presente año.</t>
  </si>
  <si>
    <t>PREFECTURA</t>
  </si>
  <si>
    <t>01.01.01.999.012.001.5.51.01.05.000.99.99.99.99.07.01.02.001.1309999</t>
  </si>
  <si>
    <t>OLMEDO ROMERO</t>
  </si>
  <si>
    <t xml:space="preserve">(L.R) ASESOR 5 DE VICEPREFECTURA </t>
  </si>
  <si>
    <t>VICEPREFECTURA</t>
  </si>
  <si>
    <t>01.01.01.999.012.002.5.51.01.05.000.99.99.99.99.07.01.02.001.1309999</t>
  </si>
  <si>
    <t>YANETH MARIA ENIT</t>
  </si>
  <si>
    <t>De conformidad con el Art.23 lit,g)y 29de la LOSEP, Olmedo Romero Yaneth Maria Enit, gozará de 18 días de vacaciones,que regirán desde el dia 19 de mayo hasta el 5 de junio  2022 debiendo reintegrarse a sus labores el 6 de junio del presente año.</t>
  </si>
  <si>
    <t>CERVANTES ANGULO</t>
  </si>
  <si>
    <t>ROBERTO LUIS</t>
  </si>
  <si>
    <t>De conformidad con el Art.23 lit,g)y 29de la LOSEP, Cervante Angulo Roberto Luis, gozará de 15 días de vacaciones,que regirán desde el dia 2 de mayo hasta el 16 de mayo del 2022 debiendo reintegrarse a sus labores el 17 de mayo del presente año.</t>
  </si>
  <si>
    <t>TECNICO DE ARCHIVO</t>
  </si>
  <si>
    <t>DIRECCION FINANCIERA</t>
  </si>
  <si>
    <t>01.01.11.999.012.001.5.51.01.05.000.99.99.99.99.07.01.02.001.1309999</t>
  </si>
  <si>
    <t>ZAPATA MENDIETA</t>
  </si>
  <si>
    <t>JEFERSON EDUARDO</t>
  </si>
  <si>
    <t>De conformidad con el Art.23 lit,g)y 29de la LOSEP, Zapata Mendieta Jeferson Eduardo, gozará de 14 días de vacaciones,que regirán desde el dia 9 de mayo hasta el 22 de mayo del 2022 debiendo reintegrarse a sus labores el 23 de mayo del presente año.</t>
  </si>
  <si>
    <t>PROMOTOR (recolección de fruta)</t>
  </si>
  <si>
    <t>LEON IDROBO</t>
  </si>
  <si>
    <t>LIDIA MIRELLA</t>
  </si>
  <si>
    <t>TECNICO ADMINISTRATIVO Y DE RECAUDACION</t>
  </si>
  <si>
    <t>DIRECCION DE RECURSOS HIDRICOS</t>
  </si>
  <si>
    <t>UNIDAD DE RIEGO Y DRENAJE</t>
  </si>
  <si>
    <t>01.01.16.999.012.002.7.71.01.05.D24.99.99.99.99.07.01.02.003.0460000</t>
  </si>
  <si>
    <t>De conformidad con el Art.23 lit,g)y 29de la LOSEP, Leon Idrobo Lidia Mirella, gozará de 19 días de vacaciones,que regirán desde el dia 5 de mayo hasta el 23 de mayo del 2022 debiendo reintegrarse a sus labores el 24 de mayo del presente año.</t>
  </si>
  <si>
    <t xml:space="preserve">LEON VALAREZO </t>
  </si>
  <si>
    <t>MARIO HUMBERTO</t>
  </si>
  <si>
    <t>De conformidad con el Art.23 lit,g)y 29 de la LOSEP, LEON VALAREZO MARIO HUMBERTO, gozará de 12 días de vacaciones,que regirán desde el dia 5 mayo hasta el 16 mayo  2022,debiendo reintegrarse a sus labores el 17 mayo del presente año.</t>
  </si>
  <si>
    <t xml:space="preserve"> DIRECTOR/A DE GESTION AMBIENTAL</t>
  </si>
  <si>
    <t>01.01.18.999.012.002.7.71.01.05.000.99.99.99.99.07.01.02.001.1309999</t>
  </si>
  <si>
    <t>RODRIGUEZ PAREDES</t>
  </si>
  <si>
    <t>CARMEN DELIA</t>
  </si>
  <si>
    <t>De conformidad con el Art.23 lit,g)y 29 de la LOSEP, RODRIGUEZ PAREDES CARMEN DELIA, gozará de 15 días de vacaciones,que regirán desde el dia 3 mayo hasta el 17 mayo  2022,debiendo reintegrarse a sus labores el 18 mayo del presente año.</t>
  </si>
  <si>
    <t>UNIDAD DE GESTION DE BIENES</t>
  </si>
  <si>
    <t>ASISTENTE DE BIENES</t>
  </si>
  <si>
    <t>01.01.10.999.012.003.5.51.01.05.000.99.99.99.99.07.01.02.001.1309999</t>
  </si>
  <si>
    <t xml:space="preserve">CHALEN MALO </t>
  </si>
  <si>
    <t>JUAN FRANCISCO</t>
  </si>
  <si>
    <t>De conformidad con el Art.23 lit,g)y 29 de la LOSEP, CHALEN MALO, gozará de 7 días de vacaciones,que regirán desde el dia 16 mayo hasta el 22 mayo  2022,debiendo reintegrarse a sus labores el 24 mayo del presente año.</t>
  </si>
  <si>
    <t>SOY EQUIDAD E IGUALDAD</t>
  </si>
  <si>
    <t>TERAPISTA DE LENGUAJE</t>
  </si>
  <si>
    <t>02.06.02.003.005.006.7.71.05.10.000.01.02.04.01.07.01.02.001.1309999</t>
  </si>
  <si>
    <t>VEGA  BENAVIDEZ</t>
  </si>
  <si>
    <t>MARIO EZEQUIEL</t>
  </si>
  <si>
    <t>De conformidad con el Art.23 lit,g)y 29 de la LOSEP, VEGA BENAVIDEZ MARIO EZEQUIEL, gozará de 8 días de vacaciones,que regirán desde el dia 24 mayo hasta el 31 mayo  2022,debiendo reintegrarse a sus labores el 01 junio del presente año.</t>
  </si>
  <si>
    <t>DIRECCION DE TALENTO HUMANO</t>
  </si>
  <si>
    <t>UNIDAD DE SEGURIDAD Y SALUD OCUPACIONAL</t>
  </si>
  <si>
    <t>MEDICO OCUPACIONAL</t>
  </si>
  <si>
    <t>01.01.12.999.012.003.5.51.05.10.000.99.99.99.99.07.01.02.001.1309999</t>
  </si>
  <si>
    <t xml:space="preserve">ESPINOZA SOTOMAYOR </t>
  </si>
  <si>
    <t xml:space="preserve">MARIA FERNANDA </t>
  </si>
  <si>
    <t>UNIDAD DE SEGUIMIENTO Y EVALUACION</t>
  </si>
  <si>
    <t>JEFE DE SEGUIMIENTO Y EVALUACIÓN</t>
  </si>
  <si>
    <t>01.01.05.999.012.003.5.51.05.10.000.99.99.99.99.07.01.02.001.1309999</t>
  </si>
  <si>
    <t>De conformidad con el Art.23 lit,g)y 29 de la LOSEP, ESPINOZA SOTOMAYOR MARIA FERNANDA, gozará de 14 días de vacaciones,que regirán desde el dia 09 mayo hasta el 22 mayo  2022,debiendo reintegrarse a sus labores el 23 mayo del presente año.</t>
  </si>
  <si>
    <t>AGUILAR ALEGRIA</t>
  </si>
  <si>
    <t>EUGENIA MARILYN</t>
  </si>
  <si>
    <t>De conformidad con el Art.23 lit,g)y 29 de la LOSEP, AGUILAR ALEGRIA AUGENIA MARILYN, gozará de 25 días de vacaciones,que regirán desde el dia 06 junio hasta el 30 junio  2022,debiendo reintegrarse a sus labores el 01 julio del presente año.</t>
  </si>
  <si>
    <t>DIRECCION DE DESARROLLO PRODUCTIVO</t>
  </si>
  <si>
    <t>UNIDAD DE FOMENTO TURISTICO</t>
  </si>
  <si>
    <t xml:space="preserve">ANALISTA DE FOMENTO TURISTICO 1 </t>
  </si>
  <si>
    <t>01.01.17.999.012.003.7.71.01.05.000.99.99.99.99.07.01.02.001.1309999</t>
  </si>
  <si>
    <t>JUAN CARLOS</t>
  </si>
  <si>
    <t>QUEZADA CRUZ</t>
  </si>
  <si>
    <t>De conformidad con el Art.23 lit,g)y 29 de la LOSEP, QUEZDA CRUZ JUAN CARLOS, gozará de 14 días de vacaciones,que regirán desde el dia 3 mayo hasta el 16 mayo  2022,debiendo reintegrarse a sus labores el 17 mayo del presente año.</t>
  </si>
  <si>
    <t>UNIDAD DE SEGURIDAD INSTITUCIONAL</t>
  </si>
  <si>
    <t>ASISTENTE DE SEGURIDAD INSTITUCIONAL</t>
  </si>
  <si>
    <t>01.01.10.999.012.003.5.51.05.10.000.99.99.99.99.07.01.02.001.1309999</t>
  </si>
  <si>
    <t>RODRIGUEZ MADERO</t>
  </si>
  <si>
    <t>EDUARDO JOSE</t>
  </si>
  <si>
    <t>03.09.01.001.016.002.7.71.05.10.000.99.99.99.99.07.99.99.001.1309999</t>
  </si>
  <si>
    <t>TECNICO 3</t>
  </si>
  <si>
    <t>UNIDAD DE ESTUDIOS, PROYECTOS Y COOPERACION</t>
  </si>
  <si>
    <t>DIRECCION DE ESTUDIOS, PROYECTOS Y COOPERACION</t>
  </si>
  <si>
    <t>De conformidad con el Art.23 lit,g)y 29 de la LOSEP, RODRIGUEZ MADERO EDUARDO JOSE, gozará de 14 días de vacaciones,que regirán desde el dia 6 junio hasta el 19 junio  2022,debiendo reintegrarse a sus labores el 20 junio del presente año.</t>
  </si>
  <si>
    <t>ALVARADO MALDONADO</t>
  </si>
  <si>
    <t>GLADYS NARCISA</t>
  </si>
  <si>
    <t>De conformidad con el Art.23 lit,g)y 29 de la LOSEP, ALVARADO MALDONADO GLADYS NARCISA, gozará de 15 días de vacaciones,que regirán desde el dia 6 junio hasta el 20 junio  2022,debiendo reintegrarse a sus labores el 21 junio del presente año.</t>
  </si>
  <si>
    <t>DIRECCION DE COMPRAS PUBLICAS</t>
  </si>
  <si>
    <t>SECRETARIA EJECUTIVA</t>
  </si>
  <si>
    <t>01.01.13.999.012.001.5.51.01.05.000.99.99.99.99.07.01.02.001.1309999</t>
  </si>
  <si>
    <t>SANCHEZ CELI</t>
  </si>
  <si>
    <t>ERMEL ANTOLINO</t>
  </si>
  <si>
    <t>De conformidad con el Art.23 lit,g)y 29 de la LOSEP, SANCHEZ CELI ERMEL ANTOLINO, gozará de 20 días de vacaciones,que regirán desde el dia 1 junio hasta el 20 junio  2022,debiendo reintegrarse a sus labores el 21 junio del presente año.</t>
  </si>
  <si>
    <t xml:space="preserve">CORREA DURAN </t>
  </si>
  <si>
    <t>CARLOS ABEL</t>
  </si>
  <si>
    <t>De conformidad con el Art.23 lit,g)y 29 de la LOSEP, CORREA DURAN CARLOS ABEL, gozará de 30 días de vacaciones,que regirán desde el dia 6 junio hasta el 05 julio  2022,debiendo reintegrarse a sus labores el 06 julio del presente año.</t>
  </si>
  <si>
    <t>02.06.03.002.005.005.7.71.05.10.000.01.03.04.01.07.99.99.001.1309999</t>
  </si>
  <si>
    <t>IMPLEMENTACION DE PROGRAMAS SOSTENIBLES DE SEGURIDAD ALIMENTARIA</t>
  </si>
  <si>
    <t xml:space="preserve">CABRERA CAJAS </t>
  </si>
  <si>
    <t>JESSENIA LIZZETH</t>
  </si>
  <si>
    <t>De conformidad con el Art.23 lit,g)y 29 de la LOSEP, CABRERA CAJAS JESSENIA LIZZETH, gozará de 20 días de vacaciones,que regirán desde el dia 6 mayo hasta el 25 mayo  2022,debiendo reintegrarse a sus labores el 26 mayo del presente año.</t>
  </si>
  <si>
    <t>OCAMPO VIVANCO</t>
  </si>
  <si>
    <t>EDGAR MARCELO</t>
  </si>
  <si>
    <t>De conformidad con el Art.23 lit,g)y 29 de la LOSEP, Ocampo Vivanco Edgar Marcelo, gozará de 8 días de vacaciones,que regirán desde el dia 10 Junio hasta el 17 de Junio  2022,debiendo reintegrarse a sus labores el 20 de Junio del presente año.</t>
  </si>
  <si>
    <t xml:space="preserve">(L.R.) DIRECTOR/A DE RECURSOS HIDRICOS </t>
  </si>
  <si>
    <t>01.01.16.999.012.001.7.71.01.05.000.99.99.99.99.07.01.02.001.1309999</t>
  </si>
  <si>
    <t>ROSALES PIZARRO</t>
  </si>
  <si>
    <t>JOHANA MERCEDES</t>
  </si>
  <si>
    <t>De conformidad con el Art.23 lit,g)y 29 de la LOSEP, Rosales Pizarro Johanna Mercedes, gozará de 7 días de vacaciones,que regirán desde el dia 13 Junio hasta el 19 de Junio  2022,debiendo reintegrarse a sus labores el 20 de Junio del presente año.</t>
  </si>
  <si>
    <t>INSTRUCTOR PEDAGOGICO</t>
  </si>
  <si>
    <t>CASTRO MORA</t>
  </si>
  <si>
    <t xml:space="preserve">EDWIN XAVIER </t>
  </si>
  <si>
    <t>De conformidad con el Art.23 lit,g)y 29 de la LOSEP, Castro Mora Edwin Xavier, gozará de 21 días de vacaciones,que regirán desde el dia 13 de junio hasta el 3 de julio  2022,debiendo reintegrarse a sus labores el 4 de julio del presente año.</t>
  </si>
  <si>
    <t xml:space="preserve">JARA VILLAMAGUA </t>
  </si>
  <si>
    <t>MARIA LUISA</t>
  </si>
  <si>
    <t>De conformidad con el Art.23 lit,g)y 29 de la LOSEP, JARA VILLAMAGUA MARIA LUISA, gozará de 14 días de vacaciones,que regirán desde el dia 18 abril hasta el 29 de abril 2022,debiendo reintegrarse a sus labores el 01 de mayo del presente año.</t>
  </si>
  <si>
    <t>ODONTOLOGO (A)</t>
  </si>
  <si>
    <t xml:space="preserve">PALACIOS HERRERA </t>
  </si>
  <si>
    <t xml:space="preserve">CARLOS FERNANDO </t>
  </si>
  <si>
    <t>De conformidad con el Art.23 lit,g)y 29 de la LOSEP, PALACIOS HERRERA CARLOS FERNANDO, gozará de 15 días de vacaciones,que regirán desde el dia 13 junio hasta el 27 de junio 2022,debiendo reintegrarse a sus labores el 28 de junio del presente año.</t>
  </si>
  <si>
    <t xml:space="preserve">MORAN ALCIVAR </t>
  </si>
  <si>
    <t>VENUS INES</t>
  </si>
  <si>
    <t>De conformidad con el Art.23 lit,g)y 29 de la LOSEP, MORAN ALCIVAR VENUS INES, gozará de 15 días de vacaciones,que regirán desde el dia 16 junio hasta el 30 de junio 2022,debiendo reintegrarse a sus labores el 01 de julio del presente año.</t>
  </si>
  <si>
    <t>CDI - MIES</t>
  </si>
  <si>
    <t>EDUCADOR/A</t>
  </si>
  <si>
    <t>02.06.01.002.005.001.7.71.05.10.000.01.01.03.01.07.01.02.001.1309999</t>
  </si>
  <si>
    <t xml:space="preserve"> JEFFERSON EDUARDO</t>
  </si>
  <si>
    <t xml:space="preserve">ZAPATA MENDIETA </t>
  </si>
  <si>
    <t>De conformidad con el Art.23 lit,g)y 29 de la LOSEP, JEFFERSON EDUARDO ZAPATA MENDIETA, gozará de 9 días de vacaciones,que regirán desde el dia 20 junio hasta el 28 de junio 2022,debiendo reintegrarse a sus labores el 29 de junio del presente año.</t>
  </si>
  <si>
    <t>RIVERA VILLAFUENTE</t>
  </si>
  <si>
    <t>FLOR MARIA</t>
  </si>
  <si>
    <t>De conformidad con el Art.23 lit,g)y 29 de la LOSEP, RIVERA VILLAFUENTE FLOR MARIA, gozará de 15 días de vacaciones,que regirán desde el dia 28 junio hasta el 12 de juLio 2022,debiendo reintegrarse a sus labores el 13 de juLio del presente año.</t>
  </si>
  <si>
    <t>UNIDAD DE FOMENTO PRODUCTIVO, SUSTENTABILIDAD E INNOVACION</t>
  </si>
  <si>
    <t>ASISTENTE DE FINANCIERO PRODUCTIVO</t>
  </si>
  <si>
    <t>01.01.17.999.012.002.7.71.01.05.000.99.99.99.99.07.01.02.001.1309999</t>
  </si>
  <si>
    <t>AGUILAR OBANDO</t>
  </si>
  <si>
    <t>EUGENIA ARACELY</t>
  </si>
  <si>
    <t>NALISTA DE FOMENTO TURISTICO 1 - ANALISTA DE SERVICIOS GENERALES 1</t>
  </si>
  <si>
    <t>OLMEDO ABRIL</t>
  </si>
  <si>
    <t>LUIS WILMER</t>
  </si>
  <si>
    <t>De conformidad con el Art.23 lit,g)y 29 de la LOSEP, OLMEDO ABRIL LUIS WILMER, gozará de 15 días de vacaciones,que regirán desde el dia 4 julio hasta el 18 de julio 2022,debiendo reintegrarse a sus labores el 19 de julio del presente año.</t>
  </si>
  <si>
    <t>MEDICO</t>
  </si>
  <si>
    <t>De conformidad con el Art.23 lit,g)y 29 de la LOSEP, AGUILAR OBANDO EUGENIA ARACELY, gozará de 8 días de vacaciones,que regirán desde el dia 4 julio hasta el 11 de julio 2022,debiendo reintegrarse a sus labores el 12 de juLio del presente año.</t>
  </si>
  <si>
    <t>LAURA ROSALIA</t>
  </si>
  <si>
    <t>CABANILLA VEINTEMILLA</t>
  </si>
  <si>
    <t>De conformidad con el Art.23 lit,g)y 29 de la LOSEP, CABANILLA VEINTEMILLA LAURA ROSALIA, gozará de 9 días de vacaciones,que regirán desde el dia 29 junio hasta el 7 de julio 2022,debiendo reintegrarse a sus labores el 8 de julio del presente año.</t>
  </si>
  <si>
    <t>UNIDAD DE GESTIÓN DE TALENTO HUMANO</t>
  </si>
  <si>
    <t>01.01.12.999.012.002.5.51.01.05.000.99.99.99.99.07.01.02.001.1309999</t>
  </si>
  <si>
    <t>ASISTENTE TÉCNICO</t>
  </si>
  <si>
    <t>03.13.02.001.001.001.7.71.05.10.000.02.07.06.01.07.99.99.001.1309999</t>
  </si>
  <si>
    <t>VELEPUCHA BENAVIDES</t>
  </si>
  <si>
    <t xml:space="preserve"> ALEX ELVIS</t>
  </si>
  <si>
    <t>De conformidad con el Art.23 lit,g)y 29 de la LOSEP, VELEPUCHA BENAVIDES ALEX ELVIS, gozará de 15 días de vacaciones,que regirán desde el dia 12 julio hasta el 26 de julio 2022,debiendo reintegrarse a sus labores el 27 de julio del presente año.</t>
  </si>
  <si>
    <t>GONZALEZ GUEVARA</t>
  </si>
  <si>
    <t>CAROLINA LISSETH</t>
  </si>
  <si>
    <t>De conformidad con el Art.23 lit,g)y 29 de la LOSEP, GONZALEZ GUEVARA CAROLINA LISSETH, gozará de 12 días de vacaciones,que regirán desde el dia 11 julio hasta el 22 de julio 2022,debiendo reintegrarse a sus labores el 25 de julio del presente año.</t>
  </si>
  <si>
    <t>01.01.12.999.012.001.5.51.01.05.000.99.99.99.99.07.01.02.001.1309999</t>
  </si>
  <si>
    <t>JEFFERSON EDUARDO</t>
  </si>
  <si>
    <t>De conformidad con el Art.23 lit,g)y 29 de la LOSEP, ZAPATA MENDIETA JEFFERSON EDUARDO , gozará de 9 días de vacaciones,que regirán desde el dia 11 julio hasta el 19 de julio 2022,debiendo reintegrarse a sus labores el 20 de julio del presente año.</t>
  </si>
  <si>
    <t xml:space="preserve">SOLORZANO FLORES </t>
  </si>
  <si>
    <t>WILLIAM EDUARDO</t>
  </si>
  <si>
    <t>18 DE JULIO</t>
  </si>
  <si>
    <t>De conformidad con el Art.23 lit,g)y 29 de la LOSEP, SOLORZANO FLORES WILLIAM EDUARDO , gozará de 12 días de vacaciones,que regirán desde el dia 18 julio hasta el 29 de julio 2022,debiendo reintegrarse a sus labores el 01 de Agosto del presente año.</t>
  </si>
  <si>
    <t>DIRECCION DE FISCALIZACIÓN</t>
  </si>
  <si>
    <t>ANALISTA DE FISCALIZACION 2</t>
  </si>
  <si>
    <t>01.01.09.999.012.001.5.51.01.05.000.99.99.99.99.07.01.02.001.1309999</t>
  </si>
  <si>
    <t>ORTIZ BERREZUETA</t>
  </si>
  <si>
    <t>JOHANNA ELIZABETH</t>
  </si>
  <si>
    <t>De conformidad con el Art.23 lit,g)y 29 de la LOSEP, ORTIZ BERREZUETA JOHANNA ELIZABETH , gozará de 10 días de vacaciones,que regirán desde el dia 18 julio hasta el 27 de julio 2022,debiendo reintegrarse a sus labores el 28 de julio del presente año.</t>
  </si>
  <si>
    <t>DIRECCION DE COMUNICACIÓN SOCIAL</t>
  </si>
  <si>
    <t>UNIDAD DE COMUNICACIÓN, MARCA E IMAGEN INSTITUCIONAL</t>
  </si>
  <si>
    <t>ANALISTA DE COMUNICACIÓN, MARCA E IMAGEN INSTITUCIONAL 1</t>
  </si>
  <si>
    <t>01.01.06.999.012.002.5.51.05.10.000.99.99.99.99.07.01.02.001.1309999</t>
  </si>
  <si>
    <t xml:space="preserve">ELIZALDE QUEVEDO </t>
  </si>
  <si>
    <t xml:space="preserve">NATHALY ESTEFANÍA </t>
  </si>
  <si>
    <t>De conformidad con el Art.23 lit,g)y 29 de la LOSEP, ELIZALDE QUEVEDO NATHALY ESTEFANÍA  , gozará de 15 días de vacaciones,que regirán desde el dia 18 julio hasta el 1 de agosto del 2022,debiendo reintegrarse a sus labores el 02 de agosto del presente año.</t>
  </si>
  <si>
    <t>ANALISTA DE COMISARIA AMBIENTAL 1</t>
  </si>
  <si>
    <t>ROMERO ROMERO</t>
  </si>
  <si>
    <t>CARLOS ANDRES</t>
  </si>
  <si>
    <t>De conformidad con el Art.23 lit,g)y 29 de la LOSEP, ROMERO ROMERO CARLOS ANDRES  , gozará de 10 días de vacaciones,que regirán desde el dia 4 julio hasta el 13 de julio del 2022,debiendo reintegrarse a sus labores el 14 de julio del presente año.</t>
  </si>
  <si>
    <t>ANALISTA DE RECURSOS HIDRICOS 2</t>
  </si>
  <si>
    <t xml:space="preserve">CLEMENTE ESTEBAN </t>
  </si>
  <si>
    <t xml:space="preserve">BRAVO RIOFRIO </t>
  </si>
  <si>
    <t>(L.R.) PREFECTO PROVINCIAL DE EL ORO</t>
  </si>
  <si>
    <t>De conformidad con el Art.23 lit,g)y 29 de la LOSEP, BRAVO RIOFRIO CLEMENTE ESTEBAN , gozará de 20 días de vacaciones,que regirán desde el dia 22 julio hasta el 10 de agosto del 2022,debiendo reintegrarse a sus labores el 11 de agosto del presente año.</t>
  </si>
  <si>
    <t>CARRION ROMERO</t>
  </si>
  <si>
    <t>EVELYN KATHERINE</t>
  </si>
  <si>
    <t>De conformidad con el Art.23 lit,g)y 29 de la LOSEP, CARRION ROMERO EVELYN KATHERINE, gozará de 11 días de vacaciones,que regirán desde el dia 5 de julio hasta el 15 de julio 2022,debiendo reintegrarse a sus labores el 18 de julio del presente año.</t>
  </si>
  <si>
    <t>CLEMENTE ESTEBAN</t>
  </si>
  <si>
    <t>BRAVO RIOFRIO</t>
  </si>
  <si>
    <t>OBSERVACIONES:</t>
  </si>
  <si>
    <t>OBSERVACIONES</t>
  </si>
  <si>
    <t>OBSERVACIONES :</t>
  </si>
  <si>
    <t xml:space="preserve">SE PONE EN OBSERVACION QUE HAY UNA PESTAÑITA ADJUNTA DONDE SE VE LOS DIAS QUE SE HAN TOMADO PARA EL CALCULO DEL USO DE SUS VACACIONES </t>
  </si>
  <si>
    <t>SIDASH</t>
  </si>
  <si>
    <t>TETYANA</t>
  </si>
  <si>
    <t>De conformidad con el Art.23 lit,g)y 29 de la LOSEP, SIDASH TETYANA, gozará de 16 días de vacaciones,que regirán desde el dia 15 de Septiembre hasta el 30 de SEPTIEMBRE 2022,debiendo reintegrarse a sus labores el 03 de OCTUBRE del presente año.</t>
  </si>
  <si>
    <t>NINGUNA</t>
  </si>
  <si>
    <t xml:space="preserve">PREFECTURA </t>
  </si>
  <si>
    <t>PREFECTO</t>
  </si>
  <si>
    <t xml:space="preserve">DALTON HARRISON </t>
  </si>
  <si>
    <t>ABRIL SOLANO</t>
  </si>
  <si>
    <t>De conformidad con el Art.23 lit,g)y 29 de la LOSEP, ABRIL SOLANO DALTON HARRINSON, gozará de 16 días de vacaciones,que regirán desde el dia 03 de Octubre hasta el 18 de Octubre 2022,debiendo reintegrarse a sus labores el 19 de Octubre del presente año.</t>
  </si>
  <si>
    <t>04.14.01.012.003.009.7.71.05.10.000.02.15.05.01.07.99.99.001.1309999</t>
  </si>
  <si>
    <t>TECNICO ACUACULTOR</t>
  </si>
  <si>
    <t>CERON TORRES</t>
  </si>
  <si>
    <t>CHRISTIAN</t>
  </si>
  <si>
    <t>De conformidad con el Art.23 lit,g)y 29 de la LOSEP, CERON TORRES CHRISTIAN, gozará de 10 días de vacaciones,que regirán desde el dia 07 de Septiembre hasta el 16 de Septiembre 2022,debiendo reintegrarse a sus labores el 19 de Septiembre  del presente año.</t>
  </si>
  <si>
    <t>NIGUNO</t>
  </si>
  <si>
    <t>BALLADARES FRANCO</t>
  </si>
  <si>
    <t>VICTOR MANUEL</t>
  </si>
  <si>
    <t>De conformidad con el Art.23 lit,g)y 29 de la LOSEP, BALLADARES FRANCO VICTOR MANUEL, gozará de 15 días de vacaciones,que regirán desde el dia 06de Septiembre hasta el 20 de Septiembre 2022,debiendo reintegrarse a sus labores el 21 de Septiembre  del presente año.</t>
  </si>
  <si>
    <t>CHOFER DE VEHÍCULO LIVIANO</t>
  </si>
  <si>
    <t>01.01.09.999.012.001.5.51.01.06.000.99.99.99.99.07.01.02.001.1309999</t>
  </si>
  <si>
    <t>REYES MENDEZ</t>
  </si>
  <si>
    <t>JORGE LUIS</t>
  </si>
  <si>
    <t>De conformidad con el Art.23 lit,g)y 29 de la LOSEP, REYES MENDEZ JORGE LUIS, gozará de 10 días de vacaciones,que regirán desde el dia 09 de Septiembre hasta el 18 de Septiembre 2022,debiendo reintegrarse a sus labores el 19 de Septiembre  del presente año.</t>
  </si>
  <si>
    <t>TÉCNICO AGROPECUARIO</t>
  </si>
  <si>
    <t>MEJORAMIENTO DE LA CONECTIVIDAD AGROPECUARIA PARA FORTALECER EL SISTEMA AGROINDUSTRIAL DE LA PEQUEÑA, MEDIANA EMPRESA Y MICROEMPRESA UBICADA EN LA PROVINCIA DE EL ORO</t>
  </si>
  <si>
    <t xml:space="preserve">BELDUMA MOROCHO </t>
  </si>
  <si>
    <t>FRANKLIN</t>
  </si>
  <si>
    <t>ANALISTA DE OBRAS PUBLICAS Y VIALIDAD 2</t>
  </si>
  <si>
    <t>01.01.14.999.012.002.7.71.05.10.000.99.99.99.99.07.01.02.001.1309999</t>
  </si>
  <si>
    <t>CARRION PARDO</t>
  </si>
  <si>
    <t>ROBERTH GONZALO</t>
  </si>
  <si>
    <t>De conformidad con el Art.23 lit,g)y 29 de la LOSEP,CARRION PARDO ROBERTH GONZALO, gozará de 10 días de vacaciones,que regirán desde el dia 07 de Septiembre hasta el 16 de Septiembre 2022,debiendo reintegrarse a sus labores el 19 de Septiembre  del presente año.</t>
  </si>
  <si>
    <t>ASISTENTE DE GESTION DE TALENTO HUMAN</t>
  </si>
  <si>
    <t>01.01.12.999.012.002.5.51.05.10.000.99.99.99.99.07.01.02.001.1309999</t>
  </si>
  <si>
    <t>FLORES MOSQUERA</t>
  </si>
  <si>
    <t>JULEISSI JANINA</t>
  </si>
  <si>
    <t>ANALISTA DE BIENES 1</t>
  </si>
  <si>
    <t>REGISTRA CARGO A VACACIONES</t>
  </si>
  <si>
    <t>De conformidad con el Art.23 lit,g)y 29 de la LOSEP,FLORES MOSQUERA JULEISSI JANINA, gozará de 10 días de vacaciones,que regirán desde el dia 23 de Agosto  hasta el 01 de Septiembre 2022,debiendo reintegrarse a sus labores el 02 de Septiembre  del presente año.</t>
  </si>
  <si>
    <t>PINTA SOLÓRZANO</t>
  </si>
  <si>
    <t xml:space="preserve"> DIEGO HUGOLINO</t>
  </si>
  <si>
    <t>ad con el Art.23 lit,g)y 29 de la LOSEP, PINTA SOLÓRZANO DIEGO HUGOLINO, gozará de 17 días de vacaciones,que regirán desde el dia 15 de Agosto hasta el 31 de Agosto 2022,debiendo reintegrarse a sus labores el 01 de Septiembre  del presente año.</t>
  </si>
  <si>
    <t>ANALISTA DE MANEJO  Y CONSERVACION AMBIENTAL 1</t>
  </si>
  <si>
    <t>01.01.18.999.012.004.7.71.05.10.000.99.99.99.99.07.01.02.001.1309999</t>
  </si>
  <si>
    <t>ANDRADE YANZA</t>
  </si>
  <si>
    <t>De conformidad con el Art.23 lit,g)y 29 de la LOSEP,ANDRADE YANZA JORGE LUIS, gozará de 15 días de vacaciones,que regirán desde el dia 16 de Agosto  hasta el 30 de Agosto 2022,debiendo reintegrarse a sus labores el 31 de Agosto  del presente año.</t>
  </si>
  <si>
    <t>UNIDAD DE CALIDAD AMBIENTAL</t>
  </si>
  <si>
    <t>ANALISTA DE CALIDAD AMBIENTAL 1</t>
  </si>
  <si>
    <t>01.01.18.999.012.005.7.71.05.10.000.99.99.99.99.07.01.02.001.1309999</t>
  </si>
  <si>
    <t>GUERRERO CHERREZ</t>
  </si>
  <si>
    <t>KATHY JACQUELINE</t>
  </si>
  <si>
    <t>De conformidad con el Art.23 lit,g)y 29 de la LOSEP,GUERRERO CHERREZ KATHY JACQUELINE, gozará de 09 días de vacaciones,que regirán desde el dia 11 de Agosto  hasta el 19 de Agosto 2022,debiendo reintegrarse a sus labores el 22 de Agosto  del presente año.</t>
  </si>
  <si>
    <t>01.01.16.999.012.002.7.71.01.05.000.99.99.99.99.07.01.02.001.1309999</t>
  </si>
  <si>
    <t>GUAILLAS CABRERA</t>
  </si>
  <si>
    <t xml:space="preserve">DANY RODRIGO </t>
  </si>
  <si>
    <t>De conformidad con el Art.23 lit,g)y 29 de la LOSEP, GUAILLAS CABRERA DANY RODRIGO, gozará de 05 días de vacaciones,que regirán desde el dia 01 de Agosto  hasta el 05 de Agosto 2022,debiendo reintegrarse a sus labores el 08 de Agosto  del presente año.</t>
  </si>
  <si>
    <t>UNIDAD DE PARTICIPACION CIUDADANA Y CONTROL SOCIAL</t>
  </si>
  <si>
    <t>TECNICO DE PARTICIPACION CIUDADANA Y CONTROL SOCIAL</t>
  </si>
  <si>
    <t>01.01.19.999.012.004.7.71.05.10.000.99.99.99.99.07.01.02.001.1309999</t>
  </si>
  <si>
    <t>REGISTRA CARGOS A VACACIONES</t>
  </si>
  <si>
    <t>RAMIREZ GOMEZ</t>
  </si>
  <si>
    <t xml:space="preserve"> OSMAN HERNÁN</t>
  </si>
  <si>
    <t>De conformidad con el Art.23 lit,g)y 29 de la LOSEP,RAMIREZ GOMEZ OSMAN HERNÁN, gozará de 15 días de vacaciones,que regirán desde el dia 01 de Agosto  hasta el 15 de Agosto 2022,debiendo reintegrarse a sus labores el 16 de Agosto  del presente año</t>
  </si>
  <si>
    <t>UNIDAD DE RIESGOS</t>
  </si>
  <si>
    <t>ANALISTA DE RIESGO 2</t>
  </si>
  <si>
    <t>01.01.18.999.012.003.7.71.05.10.000.99.99.99.99.07.01.02.001.1309999</t>
  </si>
  <si>
    <t>SANTIN ENCALADA</t>
  </si>
  <si>
    <t>CINTHYA GISELA</t>
  </si>
  <si>
    <t>De conformidad con el Art.23 lit,g)y 29 de la LOSEP,SANTIN ENCALADA CINTHYA GISELA, gozará de 15 días de vacaciones,que regirán desde el dia 08 de Agosto  hasta el 1522 de Agosto 2022,debiendo reintegrarse a sus labores el 16 de Agosto  del presente año</t>
  </si>
  <si>
    <t>UNIDAD DE TESORERIA</t>
  </si>
  <si>
    <t>ASISTENTE DE TESORERIA</t>
  </si>
  <si>
    <t>01.01.11.999.012.004.5.51.01.05.000.99.99.99.99.07.01.02.001.1309999</t>
  </si>
  <si>
    <t>PORRAS ARAUJO</t>
  </si>
  <si>
    <t xml:space="preserve"> LEONARDO IVAN</t>
  </si>
  <si>
    <t>De conformidad con el Art.23 lit,g)y 29 de la LOSEP,PORRAS ARAUJO LEONARDO IVAN, gozará de 15 días de vacaciones,que regirán desde el dia 15 de Agosto  hasta el 29 de Agosto 2022, debiendo reintegrarse a sus labores el 30 de Agosto  del presente año</t>
  </si>
  <si>
    <t>03.13.01.001.001.001.7.71.05.10.000.02.07.06.01.07.03.51.002.7700000</t>
  </si>
  <si>
    <t>REGISTRA VACACIONES</t>
  </si>
  <si>
    <t>AGUILAR GALVEZ</t>
  </si>
  <si>
    <t>ANGEL MARCELO</t>
  </si>
  <si>
    <t>De conformidad con el Art.23 lit,g)y 29 de la LOSEP,AGUILAR GALVEZ ANGEL MARCELO, gozará de 15 días de vacaciones,que regirán desde el dia 01 de Agosto  hasta el 15 de Agosto 2022,debiendo reintegrarse a sus labores el 16 de Agosto  del presente año</t>
  </si>
  <si>
    <t>NOBLECILLA SOLANO</t>
  </si>
  <si>
    <t xml:space="preserve"> DEMI MAYTE</t>
  </si>
  <si>
    <t>De conformidad con el Art.23 lit,g)y 29 de la LOSEP,NOBLECILLA SOLANO DEMI MAYTE, gozará de 12 días de vacaciones,que regirán desde el dia 15 de Septiembre  hasta el 26 de Septiembre 2022,debiendo reintegrarse a sus labores el 27 de Agosto  del presente año</t>
  </si>
  <si>
    <t>ANALISTA DE COOPERACION 2</t>
  </si>
  <si>
    <t xml:space="preserve">CARDENAS BENALCAZAR </t>
  </si>
  <si>
    <t>PABLO ROBERTO</t>
  </si>
  <si>
    <t>De conformidad con el Art.23 lit,g)y 29 de la LOSEP,CARDENAS BENALCAZAR PABLO ROBERTO, gozará de 4 días de vacaciones,que regirán desde el dia 12 de Septiembre hasta el 15 de Septiembre 2022,debiendo reintegrarse a sus labores el 16 de Septiembre  del presente año</t>
  </si>
  <si>
    <t>(L.R.) SECRETARIO/A PARTICULAR DE PREFECTURA</t>
  </si>
  <si>
    <t>MATAMOROS ARMIJOS</t>
  </si>
  <si>
    <t xml:space="preserve"> SAMANTHA CRISTINA</t>
  </si>
  <si>
    <t>De conformidad con el Art.23 lit,g)y 29 de la LOSEP,MATAMOROS ARMIJOS SAMANTHA CRISTINA, gozará de 15 días de vacaciones,que regirán desde el dia 23 de Septiembre hasta el 07 de Octubre 2022,debiendo reintegrarse a sus labores el 10 de Octubre  del presente año</t>
  </si>
  <si>
    <t>01.01.16.999.012.001.7.71.05.10.000.99.99.99.99.07.01.02.001.1309999</t>
  </si>
  <si>
    <t>De conformidad con el Art.23 lit,g)y 29 de la LOSEP, BELDUMA MOROCHO FRANKLIN , gozará de 12 días de vacaciones,que regirán desde el dia 01 de Septiembre hasta el 12 de Septiembre 2022,debiendo reintegrarse a sus labores el 13 de Septiembre  del presente año.</t>
  </si>
  <si>
    <t>LUEGO DE TOMAR ESTOS DIAS DE VACACIONES EN EL PRESENTE AÑO YA NO CUENTA CON DIAS DISPONIBLES</t>
  </si>
  <si>
    <t>BENITEZ ZAPATA</t>
  </si>
  <si>
    <t>HERLINDA LEIDY</t>
  </si>
  <si>
    <t>De conformidad con el Art.23 lit,g)y 29 de la LOSEP,MATAMOROS ARMIJOS SAMANTHA CRISTINA, gozará de 19 días de vacaciones,que regirán desde el dia 03 de octubre hasta el 21 de Octubre 2022,debiendo reintegrarse a sus labores el 25 de Octubre  del presente año</t>
  </si>
  <si>
    <t xml:space="preserve">SECRETARIA DE TALENTO HUMANO </t>
  </si>
  <si>
    <t>TRABAJADORA SOCIAL INSTITUCIONAL</t>
  </si>
  <si>
    <t>01.01.12.999.012.003.5.51.01.05.000.99.99.99.99.07.01.02.001.1309999</t>
  </si>
  <si>
    <t>DAUL URDIALES</t>
  </si>
  <si>
    <t>CARLA MARIA</t>
  </si>
  <si>
    <t>UNIDAD DE PROCESOS, SERVICIOS Y CALIDAD</t>
  </si>
  <si>
    <t>ANALISTA DE PROCESOS, SERVICIOS Y CALIDAD 2</t>
  </si>
  <si>
    <t>De conformidad con el Art.23 lit,g)y 29 de la LOSEP,MATAMOROS ARMIJOS SAMANTHA CRISTINA, gozará de 12 días de vacaciones,que regirán desde el dia 03 de octubre hasta el 14 de Octubre 2022,debiendo reintegrarse a sus labores el 15 de Octubre  del presente año.</t>
  </si>
  <si>
    <t>MORALES NARVAEZ</t>
  </si>
  <si>
    <t>MELISSA</t>
  </si>
  <si>
    <t>De conformidad con el Art.23 lit,g)y 29 de la LOSEP,MATAMOROS ARMIJOS SAMANTHA CRISTINA, gozará de 15 días de vacaciones,que regirán desde el dia 29 de septiembre hasta el 13 de Octubre 2022,debiendo reintegrarse a sus labores el 14 de Octubre  del presente año.</t>
  </si>
  <si>
    <t>02.06.01.002.005.001.7.71.05.10.000.01.01.03.01.07.01.02.003.2807000</t>
  </si>
  <si>
    <t xml:space="preserve">NINGUNA </t>
  </si>
  <si>
    <t>MONICA DEL PILAR</t>
  </si>
  <si>
    <t>De conformidad con el Art.23 lit,g)y 29 de la LOSEP,MATAMOROS ARMIJOS SAMANTHA CRISTINA, gozará de 12 días de vacaciones,que regirán desde el dia 03  de octubre hasta el 14 de Octubre 2022,debiendo reintegrarse a sus labores el 17 de Octubre  del presente año.</t>
  </si>
  <si>
    <t xml:space="preserve">AL MOMENTO YA NO CUENTA CON DIAS DISPONIBLES PARA USO DE VACACIONES </t>
  </si>
  <si>
    <t>VARGAS SANCHEZ</t>
  </si>
  <si>
    <t xml:space="preserve">NELVA COLOMBIA </t>
  </si>
  <si>
    <t>De conformidad con el Art.23 lit,g)y 29 de la LOSEP,VARGAS SANCHEZ NELVA COLOMBIA , gozará de 15 días de vacaciones,que regirán desde el dia 17  de octubre hasta el 02 de Noviembre 2022,debiendo reintegrarse a sus labores el 03 de Noviembre del presente año.</t>
  </si>
  <si>
    <t xml:space="preserve">ULLOA CAICEDO </t>
  </si>
  <si>
    <t>DANIEL ERNESTO</t>
  </si>
  <si>
    <t>De conformidad con el Art.23 lit,g)y 29 de la LOSEP,ULLOA CAICEDO DANIEL ERNESTO, gozará de 15 días de vacaciones,que regirán desde el dia 20  de octubre hasta el 03 de Noviembre 2022,debiendo reintegrarse a sus labores el 04 de Noviembre del presente año.</t>
  </si>
  <si>
    <t>INSTRUCTOR FUTBOL</t>
  </si>
  <si>
    <t>EL ORO CREATIVO ARTISTICO, CULTURAL Y DEPORTIVO</t>
  </si>
  <si>
    <t>02.08.01.002.005.001.7.71.05.10.000.01.06.05.01.07.99.99.001.1309999</t>
  </si>
  <si>
    <t>CUERO CALERO</t>
  </si>
  <si>
    <t>LAURA PASCUALA</t>
  </si>
  <si>
    <t>De conformidad con el Art.23 lit,g)y 29 de la LOSEP,CUERO CALERO LAURA PASCUALA, gozará de 30 días de vacaciones,que regirán desde el dia 17  de octubre hasta el 15 de Noviembre 2022,debiendo reintegrarse a sus labores el 16 de Noviembre del presente año.</t>
  </si>
  <si>
    <t>SE DESCONTO LOS CARGO A VACACION REGISTRADOS</t>
  </si>
  <si>
    <t>De conformidad con el Art.23 lit,g)y 29 de la LOSEPGUERRERO CHERREZ KATHY JACQUELINE, gozará de 30 días de vacaciones,que regirán desde el dia 11  de octubre hasta el 09 de Noviembre 2022,debiendo reintegrarse a sus labores el 10 de Noviembre del presente año.</t>
  </si>
  <si>
    <t>SE DESCONTO CAERGO A VACACIONES Y VACCIONES YA REGISTRADAS</t>
  </si>
  <si>
    <t xml:space="preserve">BUSTAMANTE SAN ANDRES </t>
  </si>
  <si>
    <t>GLORIA SHANTAL</t>
  </si>
  <si>
    <t>De conformidad con el Art.23 lit,g)y 29 de la LOSEP,BUSTAMANTE SAN ANDRES GLORIA SHANTAL, gozará de 10 días de vacaciones,que regirán desde el dia 24  de octubre hasta el 02 de Noviembre 2022,debiendo reintegrarse a sus labores el 03 de Noviembre del presente año.</t>
  </si>
  <si>
    <t>INSTRUCTORA DE TEATRO</t>
  </si>
  <si>
    <t xml:space="preserve">CURIZACA  CORONADO </t>
  </si>
  <si>
    <t>SENOVIA MARIBEL</t>
  </si>
  <si>
    <t>De conformidad con el Art.23 lit,g)y 29 de la LOSEP,CURIZACA CORONADO SENOVIA MARIBEL, gozará de 7 días de vacaciones,que regirán desde el dia 24  de octubre hasta el 30 de OCTUBRE 2022,debiendo reintegrarse a sus labores el 03 de Noviembre del presente año.</t>
  </si>
  <si>
    <t>DIRECCION DE ESTUDIOS Y PROYECTOS Y COOPERACION</t>
  </si>
  <si>
    <t>ANALISTA DE ESTUDIOS Y PROYECTOS 2</t>
  </si>
  <si>
    <t>01.01.07.999.012.002.5.51.01.05.000.99.99.99.99.07.01.02.001.1309999</t>
  </si>
  <si>
    <t>BAGUI RIOFRIO</t>
  </si>
  <si>
    <t>ROLANDO ALBERTO</t>
  </si>
  <si>
    <t>De conformidad con el Art.23 lit,g)y 29 de la LOSEP,BAGUI RIOFRIO ROLANDO ALBERTO, gozará de 17 días de vacaciones,que regirán desde el dia 27 de Octubre hasta el 13 de Noviembre 2022,debiendo reintegrarse a sus labores el 14 de Noviembre  del presente año.</t>
  </si>
  <si>
    <t/>
  </si>
  <si>
    <t>TAYLOR PACHECO</t>
  </si>
  <si>
    <t>YURI ROSITA</t>
  </si>
  <si>
    <t>De conformidad con el Art.23 lit,g)y 29 de la LOSEP,TAYLOR PACHECO YURI ROSITA, gozará de 15 días de vacaciones,que regirán desde el dia 17 de Noviembre hasta el 01 de Diciembre 2022,debiendo reintegrarse a sus labores el 02 de Diciembre   del presente año.</t>
  </si>
  <si>
    <t>JEFE DE FOMENTO PRODUCTIVO, SUSTENTABILIDAD E INNOVACION</t>
  </si>
  <si>
    <t>01.01.17.999.012.002.7.71.05.10.000.99.99.99.99.07.01.02.001.1309999</t>
  </si>
  <si>
    <t>De conformidad con el Art.23 lit,g)y 29 de la LOSEP, BRAVO RIOFRIO CLEMENTE ESTEBAN, gozará de 15 días de vacaciones,que regirán desde el dia 11 de Agosto hasta el 25 de Agosto 2022,debiendo reintegrarse a sus labores el 26 de AGOSTO del presente año.</t>
  </si>
  <si>
    <t>De conformidad con el Art.23 lit,g)y 29 de la LOSEP, BRAVO RIOFRIO CLEMENTE ESTEBAN, gozará de 15 días de vacaciones,que regirán desde el dia 26 de Agosto hasta el 9 de SEPTIEMBRE 2022,debiendo reintegrarse a sus labores el 10 de SEPTIEMBRE del presente año.</t>
  </si>
  <si>
    <t xml:space="preserve">SEGÚN LA ACCION DE PERSONAL N° 0052 TENIENDO DISPONIBLE 33,42 PIDE HACER USO 15 DIAS DE DISPONIBILIDAD </t>
  </si>
  <si>
    <t>De conformidad con el Art.23 lit,g)y 29 de la LOSEP, BRAVO RIOFRIO CLEMENTE ESTEBAN, gozará de 10 días de vacaciones,que regirán desde el dia 12 de Septiembre hasta el 21 de Septiembre 2022,debiendo reintegrarse a sus labores el 22 de Septiembre  del presente año.</t>
  </si>
  <si>
    <t xml:space="preserve">EN ATENCION A LA ACCION DE VACACIONES N°0054 DE FECHA 25 DE AGOSTO 2022 EL FUNCIONARIO CUENTA CON 18,42 DIAS PARA USO DE VACACIONES </t>
  </si>
  <si>
    <t>De conformidad con el Art.23 lit,g)y 29 de la LOSEP, BRAVO RIOFRIO CLEMENTE ESTEBAN, gozará de 14 días de vacaciones,que regirán desde el dia 21 de Noviembre  hasta el 04 de Diciembre 2022,debiendo reintegrarse a sus labores el 05 de  Diciembre del presente año.</t>
  </si>
  <si>
    <t>CUENTA CON 14 DIAS DISPONIBLES CON CORTE HASTA NOVIEMBRE DEL 2022</t>
  </si>
  <si>
    <t xml:space="preserve">NO TIENE OBSERVACION                                                     </t>
  </si>
  <si>
    <t>LOJA ZAVALA</t>
  </si>
  <si>
    <t>SILVIA ELIZABETH</t>
  </si>
  <si>
    <t>De conformidad con el Art.23 lit,g)y 29 de la LOSEP,LOJA ZAVALA SILVIA ELIZABETH, gozará de 15 días de vacaciones,que regirán desde el dia 03 de Octubre  hasta el 17 de Octubre de 2022,debiendo reintegrarse a sus labores el 18 de Octubre del presente año.</t>
  </si>
  <si>
    <t>TECNICO RESPONSABLE</t>
  </si>
  <si>
    <t>CORTEZ ESPINOZA</t>
  </si>
  <si>
    <t>FERNANDO MAURICIO</t>
  </si>
  <si>
    <t>De conformidad con el Art.23 lit,g)y 29 de la LOSEP,CORTEZ ESPINOZA FERNANDO MAURICIO, gozará de 15 días de vacaciones,que regirán desde el dia 24 de Octubre  hasta el 07 de Noviembre de 2022,debiendo reintegrarse a sus labores el 8 de Noviembre del presente año.</t>
  </si>
  <si>
    <t>TECNICO REPONSABLE</t>
  </si>
  <si>
    <t>SE DESCONTO CARGO A VACACIONES REGISTRADOS</t>
  </si>
  <si>
    <t>ROA GARCIA</t>
  </si>
  <si>
    <t>WILLIAM ANDRES</t>
  </si>
  <si>
    <t>De conformidad con el Art.23 lit,g)y 29 de la LOSEP,ROA GARCIA WILLIAM ANDRES, gozará de 10 días de vacaciones,que regirán desde el dia 21 de Septiembre  hasta el 30 de Septiembre de 2022,debiendo reintegrarse a sus labores el 03 de Octubre del presente año.</t>
  </si>
  <si>
    <t>FACILITADOR/FORMADOR HABILIDADES SOCIALES Y DIGITALES</t>
  </si>
  <si>
    <t>04.14.01.014.003.004.7.71.05.10.000.02.15.06.01.07.99.99.001.1309999</t>
  </si>
  <si>
    <t>SE DESCONTO CARGO A VACACIONES REGISTRADO</t>
  </si>
  <si>
    <t xml:space="preserve">CARMONA CORNEJO </t>
  </si>
  <si>
    <t>CARLOS EDUARDO</t>
  </si>
  <si>
    <t>De conformidad con el Art.23 lit,g)y 29 de la LOSEP,CARMONA CORNEJO CARLOS EDUARDO, gozará de 18 días de vacaciones,que regirán desde el dia 11 de Octubre  hasta el 28 de Octubre de 2022,debiendo reintegrarse a sus labores el 31 de Octubre del presente año.</t>
  </si>
  <si>
    <t>ANALISTA DE CALIDAD AMBIETAL 1</t>
  </si>
  <si>
    <t>01.01.18.999.012.005.7.71.01.05.000.99.99.99.99.07.01.02.001.1309999</t>
  </si>
  <si>
    <t>SE DESCONTO VACACIONES Y CARGO DE VACACIONES REGISTRADOS</t>
  </si>
  <si>
    <t>BONILLA PEÑALOZA</t>
  </si>
  <si>
    <t xml:space="preserve">GABINO JULIAN </t>
  </si>
  <si>
    <t>De conformidad con el Art.23 lit,g)y 29 de la LOSEP,BONILLA PEÑALOZA GABINO JULIAN, gozará de 47 días de vacaciones,que regirán desde el dia 14 de Noviembre  hasta el 30 de Diciembre de 2022,debiendo reintegrarse a sus labores el 31 de Diciembre del presente año.</t>
  </si>
  <si>
    <t>DIAS DISPONIBLES DEL AÑO 2022</t>
  </si>
  <si>
    <t>GUERRERO NETO</t>
  </si>
  <si>
    <t>LUCIA CATALINA</t>
  </si>
  <si>
    <t>De conformidad con el Art.23 lit,g)y 29 de la LOSEP,GUERRERO NETO LUCIA CATALINA, gozará de 14 días de vacaciones,que regirán desde el dia 15 de Noviembre  hasta el 28 de Noviembre de 2022,debiendo reintegrarse a sus labores el 29 de Noviembre del presente año.</t>
  </si>
  <si>
    <t>TITUANA MACAS</t>
  </si>
  <si>
    <t>NANCY TATIANA</t>
  </si>
  <si>
    <t>De conformidad con el Art.23 lit,g)y 29 de la LOSEP,TITUANA MACAS NANCY TATIANA, gozará de 17 días de vacaciones,que regirán desde el dia 21 de Noviembre  hasta el 7 de Diciembre de 2022,debiendo reintegrarse a sus labores el 8 de Diciembre del presente año.</t>
  </si>
  <si>
    <t>SE DESCONTO CARGO A VACACIONES REGISTRADAS</t>
  </si>
  <si>
    <t>TINITANA ESTUPIÑAN</t>
  </si>
  <si>
    <t>MICHAEL LEONEL</t>
  </si>
  <si>
    <t>De conformidad con el Art.23 lit,g)y 29 de la LOSEP,TINITANA ESTUPIÑAN MICHAEL LEONEL, gozará de 12 días de vacaciones,que regirán desde el dia 16 de Noviembre  hasta el 27 de Noviembre de 2022,debiendo reintegrarse a sus labores el 28 de Noviembre del presente año.</t>
  </si>
  <si>
    <t>INSTRUCTOR BAILOTERAPIA</t>
  </si>
  <si>
    <t>SE DESCONTO CARGOS A VACACIONES REGISTRADAS</t>
  </si>
  <si>
    <t xml:space="preserve">OSMAN HERNÁN </t>
  </si>
  <si>
    <t>De conformidad con el Art.23 lit,g)y 29 de la LOSEP,RAMIREZ GOMEZ OSMAN HERNÁN , gozará de 15 días de vacaciones,que regirán desde el dia 17 de Noviembre  hasta el 1 de Diciembre de 2022,debiendo reintegrarse a sus labores el 2 de Diciembre del presente año.</t>
  </si>
  <si>
    <t>04.05.02.001.003.011.7.71.05.10.000.02.07.01.01.07.01.02.001.1309999</t>
  </si>
  <si>
    <t>SE DESCONTO VACACIONES Y CARGO A VACACIONES REGISTRADOS</t>
  </si>
  <si>
    <t xml:space="preserve">CARVAJAL TOALA </t>
  </si>
  <si>
    <t>JONATAN DANIEL</t>
  </si>
  <si>
    <t>De conformidad con el Art.23 lit,g)y 29 de la LOSEP,CARVAJAL TOALA JONATAN DANIEL, gozará de 15 días de vacaciones,que regirán desde el dia 16 de Noviembre  hasta el 30 de Noviembre de 2022,debiendo reintegrarse a sus labores el 1 de Diciembre del presente año.</t>
  </si>
  <si>
    <t>AUXILIAR DE SERVICIOS</t>
  </si>
  <si>
    <t>SE DESCONTO VACACIONES Y CARGO A VACACIONES YA REGISTRADOS</t>
  </si>
  <si>
    <t>MATAMOROS MADRID</t>
  </si>
  <si>
    <t>CHRISTIAN MANUEL</t>
  </si>
  <si>
    <t>De conformidad con el Art.23 lit,g)y 29 de la LOSEP,MATAMOROS MADRID CHRISTIAN MANUEL, gozará de 10 días de vacaciones,que regirán desde el dia 21 de Septiembre  hasta el 30 de Septiembre de 2022,debiendo reintegrarse a sus labores el 03 de Octubre  del presente año.</t>
  </si>
  <si>
    <t>JEFE DE TECNOLOGIA DE INFORMACION Y COMUNICACIÓN</t>
  </si>
  <si>
    <t>se desconto cargo a vacaciones ya registrados</t>
  </si>
  <si>
    <t xml:space="preserve">VEGA LUZURIAGA </t>
  </si>
  <si>
    <t>ROMEL ANDRES</t>
  </si>
  <si>
    <t>De conformidad con el Art.23 lit,g)y 29 de la LOSEP,VEGA LUZURIAGA ROMEL ANDRES, gozará de 14 días de vacaciones,que regirán desde el dia 26 de Septiembre  hasta el 09 de Octubre de 2022,debiendo reintegrarse a sus labores el 10 de Octubre  del presente año.</t>
  </si>
  <si>
    <t>JEFE DE SEGURIDAD Y SALUD OCUPACIONAL</t>
  </si>
  <si>
    <t>MENDOZA LOOR</t>
  </si>
  <si>
    <t>CRISTHIAN JOSE</t>
  </si>
  <si>
    <t>De conformidad con el Art.23 lit,g)y 29 de la LOSEP, MENDOZA LOOR CRISTHIAN JOSE, gozará de 14 días de vacaciones,que regirán desde el dia 07 de Noviembre  hasta el 20 de Noviembre de 2022,debiendo reintegrarse a sus labores el 21 de Noviembre del presente año.</t>
  </si>
  <si>
    <t>VALENCIA ALVARADO</t>
  </si>
  <si>
    <t>CRISTHIAN ANDRES</t>
  </si>
  <si>
    <t>De conformidad con el Art.23 lit,g)y 29 de la LOSEP, VALENCIA ALVARADO CRISTHIAN ANDRES, gozará de 14 días de vacaciones,que regirán desde el dia 07 de Noviembre  hasta el 20 de Noviembre de 2022,debiendo reintegrarse a sus labores el 21 de Noviembre del presente año.</t>
  </si>
  <si>
    <t>SE DESCONTO CARGO A VACACIONES YA REGISTRADOS</t>
  </si>
  <si>
    <t>SANCHEZ RAMIREZ</t>
  </si>
  <si>
    <t xml:space="preserve"> EMMA MARIA</t>
  </si>
  <si>
    <t>De conformidad con el Art.23 lit,g)y 29 de la LOSEP, SANCHEZ RAMIREZ  EMMA MARIA, gozará de 15 días de vacaciones,que regirán desde el dia 07 de Noviembre  hasta el 21 de Noviembre de 2022,debiendo reintegrarse a sus labores el 22 de Noviembre del presente año.</t>
  </si>
  <si>
    <t>TECNOLOGO MEDICO DE REHABILITACION</t>
  </si>
  <si>
    <t>SE DESCONTO CARGO A VACACIONES YA REGISTRADAS</t>
  </si>
  <si>
    <t>MONTEALEGRE CELI</t>
  </si>
  <si>
    <t>De conformidad con el Art.23 lit,g)y 29 de la LOSEP, MONTEALEGRE CELI MARIA LUISA , gozará de 10 días de vacaciones,que regirán desde el dia 28 de Noviembre  hasta el 07 de Diciembre de 2022,debiendo reintegrarse a sus labores el 08 de Diciembre del presente año.</t>
  </si>
  <si>
    <t>UNIDAD DE ASESORÍA JURÍDICA Y PATROCINIO</t>
  </si>
  <si>
    <t>ANALISTA DE ASESORIA JURIDICA Y PATROCINIO 2</t>
  </si>
  <si>
    <t>01.01.04.999.012.002.5.51.01.05.000.99.99.99.99.07.01.02.001.1309999</t>
  </si>
  <si>
    <t>JAIME SAN LUCAS</t>
  </si>
  <si>
    <t>GINA ELIZABETH DE LOURDES</t>
  </si>
  <si>
    <t>De conformidad con el Art.23 lit,g)y 29 de la LOSEP, JAIME SAN LUCAS GINA ELIZABETH DE LOURDES, gozará de 34 días de vacaciones,que regirán desde el dia 28 de Noviembre  hasta el 31 de Diciembre de 2022,debiendo reintegrarse a sus labores el 01 de Enero del presente año.</t>
  </si>
  <si>
    <t>De conformidad con el Art.23 lit,g)y 29 de la LOSEP, ARIADEL ZAMBRANO FRANCISCO JACINTO, gozará de 11 días de vacaciones,que regirán desde el dia 28 de Noviembre  hasta el 08 de Diciembre de 2022,debiendo reintegrarse a sus labores el 09 de Diciembre del presente año.</t>
  </si>
  <si>
    <t>De conformidad con el Art.23 lit,g)y 29 de la LOSEP, JARA VILLAMAGUA MARIA LUISA, gozará de 37 días de vacaciones,que regirán desde el dia 01 de Diciembre  hasta el 07 de Enero de 2023,debiendo reintegrarse a sus labores el 08 de Enero de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</si>
</sst>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44" formatCode="_ &quot;$&quot;* #,##0.00_ ;_ &quot;$&quot;* \-#,##0.00_ ;_ &quot;$&quot;* &quot;-&quot;??_ ;_ @_ "/>
    <numFmt numFmtId="164" formatCode="&quot;$&quot;\ #,##0.00_);\(&quot;$&quot;\ #,##0.00\)"/>
    <numFmt numFmtId="165" formatCode="_ [$$-300A]* #,##0.00_ ;_ [$$-300A]* \-#,##0.00_ ;_ [$$-300A]* &quot;-&quot;??_ ;_ @_ "/>
    <numFmt numFmtId="166" formatCode="0000"/>
    <numFmt numFmtId="167" formatCode="0000000000"/>
  </numFmts>
  <fonts count="19" x14ac:knownFonts="1">
    <font>
      <sz val="11"/>
      <color theme="1"/>
      <name val="Calibri"/>
      <family val="2"/>
      <scheme val="minor"/>
    </font>
    <font>
      <sz val="11"/>
      <color theme="1"/>
      <name val="Calibri"/>
      <family val="2"/>
      <scheme val="minor"/>
    </font>
    <font>
      <sz val="11"/>
      <color theme="1"/>
      <name val="Calibri"/>
      <family val="2"/>
    </font>
    <font>
      <b/>
      <sz val="13"/>
      <color theme="1"/>
      <name val="Calibri"/>
      <family val="2"/>
    </font>
    <font>
      <b/>
      <sz val="11"/>
      <color theme="1"/>
      <name val="Calibri"/>
      <family val="2"/>
    </font>
    <font>
      <sz val="10"/>
      <color theme="1"/>
      <name val="Calibri"/>
      <family val="2"/>
    </font>
    <font>
      <b/>
      <sz val="12"/>
      <color theme="1"/>
      <name val="Calibri"/>
      <family val="2"/>
    </font>
    <font>
      <b/>
      <i/>
      <sz val="8"/>
      <color theme="1"/>
      <name val="Calibri"/>
      <family val="2"/>
    </font>
    <font>
      <i/>
      <sz val="8"/>
      <color theme="1"/>
      <name val="Calibri"/>
      <family val="2"/>
    </font>
    <font>
      <sz val="9"/>
      <color theme="1"/>
      <name val="Calibri"/>
      <family val="2"/>
    </font>
    <font>
      <b/>
      <sz val="10"/>
      <color theme="1"/>
      <name val="Calibri"/>
      <family val="2"/>
    </font>
    <font>
      <b/>
      <sz val="9"/>
      <color theme="1"/>
      <name val="Calibri"/>
      <family val="2"/>
    </font>
    <font>
      <sz val="11"/>
      <name val="Calibri"/>
      <family val="2"/>
    </font>
    <font>
      <sz val="8"/>
      <color theme="1"/>
      <name val="Calibri"/>
      <family val="2"/>
    </font>
    <font>
      <b/>
      <sz val="12"/>
      <color theme="0"/>
      <name val="Calibri"/>
      <family val="2"/>
      <scheme val="minor"/>
    </font>
    <font>
      <b/>
      <sz val="11"/>
      <color theme="1"/>
      <name val="Calibri"/>
      <family val="2"/>
      <scheme val="minor"/>
    </font>
    <font>
      <b/>
      <sz val="16"/>
      <color theme="1"/>
      <name val="Calibri"/>
      <family val="2"/>
      <scheme val="minor"/>
    </font>
    <font>
      <b/>
      <sz val="12"/>
      <color theme="1"/>
      <name val="Calibri"/>
      <family val="2"/>
      <scheme val="minor"/>
    </font>
    <font>
      <sz val="9"/>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8"/>
        <bgColor indexed="64"/>
      </patternFill>
    </fill>
    <fill>
      <patternFill patternType="solid">
        <fgColor theme="4" tint="-0.249977111117893"/>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s>
  <borders count="2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9" tint="0.59996337778862885"/>
      </left>
      <right style="thin">
        <color theme="9" tint="0.59996337778862885"/>
      </right>
      <top style="thin">
        <color theme="9" tint="0.59996337778862885"/>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theme="9" tint="0.59996337778862885"/>
      </left>
      <right style="thin">
        <color theme="9" tint="0.59996337778862885"/>
      </right>
      <top/>
      <bottom/>
      <diagonal/>
    </border>
    <border>
      <left style="thin">
        <color theme="9" tint="0.59996337778862885"/>
      </left>
      <right/>
      <top style="thin">
        <color theme="9" tint="0.59996337778862885"/>
      </top>
      <bottom style="thin">
        <color theme="9" tint="0.59996337778862885"/>
      </bottom>
      <diagonal/>
    </border>
    <border>
      <left/>
      <right/>
      <top style="thin">
        <color theme="9" tint="0.59996337778862885"/>
      </top>
      <bottom style="thin">
        <color theme="9" tint="0.59996337778862885"/>
      </bottom>
      <diagonal/>
    </border>
    <border>
      <left/>
      <right style="thin">
        <color theme="9" tint="0.59996337778862885"/>
      </right>
      <top style="thin">
        <color theme="9" tint="0.59996337778862885"/>
      </top>
      <bottom style="thin">
        <color theme="9" tint="0.59996337778862885"/>
      </bottom>
      <diagonal/>
    </border>
    <border>
      <left/>
      <right style="thick">
        <color auto="1"/>
      </right>
      <top/>
      <bottom style="thick">
        <color auto="1"/>
      </bottom>
      <diagonal/>
    </border>
    <border>
      <left/>
      <right style="thick">
        <color auto="1"/>
      </right>
      <top/>
      <bottom/>
      <diagonal/>
    </border>
    <border>
      <left/>
      <right/>
      <top/>
      <bottom style="thick">
        <color auto="1"/>
      </bottom>
      <diagonal/>
    </border>
  </borders>
  <cellStyleXfs count="2">
    <xf numFmtId="0" fontId="0" fillId="0" borderId="0"/>
    <xf numFmtId="44" fontId="1" fillId="0" borderId="0" applyFont="0" applyFill="0" applyBorder="0" applyAlignment="0" applyProtection="0"/>
  </cellStyleXfs>
  <cellXfs count="242">
    <xf numFmtId="0" fontId="0" fillId="0" borderId="0" xfId="0"/>
    <xf numFmtId="0" fontId="2" fillId="0" borderId="1" xfId="0" applyFont="1" applyBorder="1" applyAlignment="1"/>
    <xf numFmtId="0" fontId="2" fillId="0" borderId="2" xfId="0" applyFont="1" applyBorder="1" applyAlignment="1"/>
    <xf numFmtId="0" fontId="2" fillId="0" borderId="3" xfId="0" applyFont="1" applyBorder="1" applyAlignment="1"/>
    <xf numFmtId="0" fontId="2" fillId="0" borderId="4" xfId="0" applyFont="1" applyBorder="1" applyAlignment="1"/>
    <xf numFmtId="0" fontId="2" fillId="0" borderId="0" xfId="0" applyFont="1" applyBorder="1" applyAlignment="1"/>
    <xf numFmtId="0" fontId="2" fillId="0" borderId="5" xfId="0" applyFont="1" applyBorder="1" applyAlignment="1"/>
    <xf numFmtId="0" fontId="4" fillId="0" borderId="4" xfId="0" applyFont="1" applyBorder="1" applyAlignment="1">
      <alignment horizontal="left" vertical="center"/>
    </xf>
    <xf numFmtId="0" fontId="4" fillId="2" borderId="4" xfId="0" applyFont="1" applyFill="1" applyBorder="1" applyAlignment="1">
      <alignment horizontal="left" vertical="center"/>
    </xf>
    <xf numFmtId="0" fontId="2" fillId="0" borderId="6" xfId="0" applyFont="1" applyBorder="1" applyAlignment="1"/>
    <xf numFmtId="0" fontId="2" fillId="0" borderId="7" xfId="0" applyFont="1" applyBorder="1" applyAlignment="1"/>
    <xf numFmtId="0" fontId="2" fillId="0" borderId="8" xfId="0" applyFont="1" applyBorder="1" applyAlignment="1"/>
    <xf numFmtId="0" fontId="2" fillId="0" borderId="6" xfId="0" applyFont="1" applyBorder="1" applyAlignment="1">
      <alignment vertical="center"/>
    </xf>
    <xf numFmtId="0" fontId="2" fillId="0" borderId="8" xfId="0" applyFont="1" applyBorder="1" applyAlignment="1">
      <alignment vertical="center"/>
    </xf>
    <xf numFmtId="0" fontId="2" fillId="0" borderId="1" xfId="0" applyFont="1" applyBorder="1"/>
    <xf numFmtId="0" fontId="2" fillId="0" borderId="2" xfId="0" applyFont="1" applyBorder="1"/>
    <xf numFmtId="0" fontId="2" fillId="0" borderId="3" xfId="0" applyFont="1" applyBorder="1"/>
    <xf numFmtId="0" fontId="2" fillId="2" borderId="4" xfId="0" applyFont="1" applyFill="1" applyBorder="1"/>
    <xf numFmtId="0" fontId="2" fillId="2" borderId="0" xfId="0" applyFont="1" applyFill="1" applyBorder="1" applyAlignment="1">
      <alignment vertical="center"/>
    </xf>
    <xf numFmtId="0" fontId="2" fillId="2" borderId="0" xfId="0" applyFont="1" applyFill="1" applyBorder="1" applyAlignment="1">
      <alignment horizontal="right" vertical="center"/>
    </xf>
    <xf numFmtId="0" fontId="2" fillId="2" borderId="5" xfId="0" applyFont="1" applyFill="1" applyBorder="1" applyAlignment="1">
      <alignment vertical="center"/>
    </xf>
    <xf numFmtId="0" fontId="2" fillId="0" borderId="4" xfId="0" applyFont="1" applyBorder="1"/>
    <xf numFmtId="0" fontId="2" fillId="0" borderId="0" xfId="0" applyFont="1" applyBorder="1"/>
    <xf numFmtId="0" fontId="2" fillId="0" borderId="5" xfId="0" applyFont="1" applyBorder="1"/>
    <xf numFmtId="0" fontId="2" fillId="2" borderId="4" xfId="0" applyFont="1" applyFill="1" applyBorder="1" applyAlignment="1">
      <alignment vertical="center"/>
    </xf>
    <xf numFmtId="49" fontId="2" fillId="2" borderId="0" xfId="0" applyNumberFormat="1" applyFont="1" applyFill="1" applyBorder="1" applyAlignment="1">
      <alignment vertical="center"/>
    </xf>
    <xf numFmtId="0" fontId="2" fillId="0" borderId="6" xfId="0" applyFont="1" applyBorder="1"/>
    <xf numFmtId="0" fontId="2" fillId="0" borderId="7" xfId="0" applyFont="1" applyBorder="1"/>
    <xf numFmtId="0" fontId="2" fillId="0" borderId="8" xfId="0" applyFont="1" applyBorder="1"/>
    <xf numFmtId="0" fontId="2" fillId="0" borderId="4" xfId="0" applyFont="1" applyBorder="1" applyAlignment="1">
      <alignment horizontal="left"/>
    </xf>
    <xf numFmtId="0" fontId="2" fillId="0" borderId="0" xfId="0" applyFont="1" applyBorder="1" applyAlignment="1">
      <alignment horizontal="left"/>
    </xf>
    <xf numFmtId="0" fontId="2" fillId="0" borderId="4" xfId="0" applyFont="1" applyBorder="1" applyAlignment="1">
      <alignment vertical="top" wrapText="1"/>
    </xf>
    <xf numFmtId="0" fontId="2" fillId="0" borderId="0" xfId="0" applyFont="1" applyBorder="1" applyAlignment="1">
      <alignment vertical="top"/>
    </xf>
    <xf numFmtId="0" fontId="2" fillId="2" borderId="4" xfId="0" applyFont="1" applyFill="1" applyBorder="1" applyAlignment="1">
      <alignment vertical="top" wrapText="1"/>
    </xf>
    <xf numFmtId="0" fontId="2" fillId="2" borderId="0" xfId="0" applyFont="1" applyFill="1" applyBorder="1" applyAlignment="1">
      <alignment vertical="top"/>
    </xf>
    <xf numFmtId="0" fontId="4" fillId="2" borderId="0" xfId="0" applyFont="1" applyFill="1" applyBorder="1" applyAlignment="1">
      <alignment vertical="top"/>
    </xf>
    <xf numFmtId="49" fontId="2" fillId="2" borderId="0" xfId="0" applyNumberFormat="1" applyFont="1" applyFill="1" applyBorder="1" applyAlignment="1">
      <alignment vertical="top"/>
    </xf>
    <xf numFmtId="0" fontId="7" fillId="2" borderId="0" xfId="0" applyFont="1" applyFill="1" applyBorder="1" applyAlignment="1"/>
    <xf numFmtId="49" fontId="8" fillId="2" borderId="0" xfId="0" applyNumberFormat="1" applyFont="1" applyFill="1" applyBorder="1" applyAlignment="1"/>
    <xf numFmtId="0" fontId="8" fillId="0" borderId="0" xfId="0" applyFont="1" applyBorder="1" applyAlignment="1">
      <alignment vertical="top"/>
    </xf>
    <xf numFmtId="49" fontId="2" fillId="0" borderId="0" xfId="0" applyNumberFormat="1" applyFont="1" applyBorder="1" applyAlignment="1">
      <alignment vertical="top"/>
    </xf>
    <xf numFmtId="49" fontId="2" fillId="0" borderId="0" xfId="0" applyNumberFormat="1" applyFont="1" applyBorder="1" applyAlignment="1">
      <alignment horizontal="right" vertical="center" wrapText="1"/>
    </xf>
    <xf numFmtId="0" fontId="2" fillId="2" borderId="7" xfId="0" applyFont="1" applyFill="1" applyBorder="1" applyAlignment="1">
      <alignment horizontal="center" vertical="top" wrapText="1"/>
    </xf>
    <xf numFmtId="49" fontId="2" fillId="2" borderId="7" xfId="0" applyNumberFormat="1" applyFont="1" applyFill="1" applyBorder="1" applyAlignment="1">
      <alignment horizontal="center" vertical="top" wrapText="1"/>
    </xf>
    <xf numFmtId="49" fontId="4" fillId="0" borderId="0" xfId="0" applyNumberFormat="1" applyFont="1" applyBorder="1" applyAlignment="1">
      <alignment horizontal="center" vertical="center"/>
    </xf>
    <xf numFmtId="49" fontId="5" fillId="2" borderId="0" xfId="0" applyNumberFormat="1" applyFont="1" applyFill="1" applyBorder="1" applyAlignment="1">
      <alignment horizontal="left" vertical="center"/>
    </xf>
    <xf numFmtId="0" fontId="5" fillId="0" borderId="0" xfId="0" applyFont="1" applyBorder="1"/>
    <xf numFmtId="0" fontId="5" fillId="0" borderId="0" xfId="0" applyFont="1" applyFill="1" applyBorder="1" applyAlignment="1"/>
    <xf numFmtId="0" fontId="5" fillId="0" borderId="5" xfId="0" applyFont="1" applyFill="1" applyBorder="1" applyAlignment="1"/>
    <xf numFmtId="0" fontId="2" fillId="2" borderId="1" xfId="0" applyFont="1" applyFill="1" applyBorder="1"/>
    <xf numFmtId="0" fontId="5" fillId="0" borderId="0" xfId="0" applyFont="1" applyFill="1" applyBorder="1"/>
    <xf numFmtId="0" fontId="5" fillId="0" borderId="0" xfId="0" applyFont="1" applyFill="1" applyBorder="1" applyAlignment="1">
      <alignment horizontal="left" indent="1"/>
    </xf>
    <xf numFmtId="0" fontId="5" fillId="2" borderId="0" xfId="0" applyFont="1" applyFill="1" applyBorder="1"/>
    <xf numFmtId="0" fontId="5" fillId="0" borderId="5" xfId="0" applyFont="1" applyBorder="1"/>
    <xf numFmtId="0" fontId="5" fillId="0" borderId="4" xfId="0" applyFont="1" applyBorder="1"/>
    <xf numFmtId="0" fontId="5" fillId="0" borderId="7" xfId="0" applyFont="1" applyBorder="1"/>
    <xf numFmtId="0" fontId="5" fillId="0" borderId="8" xfId="0" applyFont="1" applyBorder="1"/>
    <xf numFmtId="0" fontId="4" fillId="0" borderId="0" xfId="0" applyFont="1" applyBorder="1"/>
    <xf numFmtId="0" fontId="14" fillId="3" borderId="12" xfId="0" applyFont="1" applyFill="1" applyBorder="1" applyAlignment="1">
      <alignment vertical="center"/>
    </xf>
    <xf numFmtId="49" fontId="14" fillId="3" borderId="12" xfId="0" applyNumberFormat="1" applyFont="1" applyFill="1" applyBorder="1" applyAlignment="1">
      <alignment vertical="center"/>
    </xf>
    <xf numFmtId="0" fontId="0" fillId="4" borderId="0" xfId="0" applyFill="1"/>
    <xf numFmtId="0" fontId="0" fillId="6" borderId="14" xfId="0" applyFill="1" applyBorder="1"/>
    <xf numFmtId="0" fontId="0" fillId="6" borderId="0" xfId="0" applyFill="1" applyBorder="1"/>
    <xf numFmtId="0" fontId="0" fillId="6" borderId="15" xfId="0" applyFill="1" applyBorder="1"/>
    <xf numFmtId="0" fontId="0" fillId="6" borderId="18" xfId="0" applyFill="1" applyBorder="1"/>
    <xf numFmtId="0" fontId="0" fillId="6" borderId="16" xfId="0" applyFill="1" applyBorder="1"/>
    <xf numFmtId="0" fontId="0" fillId="6" borderId="17" xfId="0" applyFill="1" applyBorder="1"/>
    <xf numFmtId="0" fontId="14" fillId="3" borderId="19" xfId="0" applyFont="1" applyFill="1" applyBorder="1" applyAlignment="1">
      <alignment vertical="center"/>
    </xf>
    <xf numFmtId="0" fontId="0" fillId="0" borderId="0" xfId="0" applyBorder="1"/>
    <xf numFmtId="0" fontId="5" fillId="0" borderId="0" xfId="0" applyFont="1" applyFill="1" applyBorder="1" applyAlignment="1"/>
    <xf numFmtId="0" fontId="2" fillId="2" borderId="0" xfId="0" applyFont="1" applyFill="1" applyBorder="1" applyAlignment="1">
      <alignment vertical="center"/>
    </xf>
    <xf numFmtId="0" fontId="4" fillId="2" borderId="0" xfId="0" applyFont="1" applyFill="1" applyBorder="1" applyAlignment="1">
      <alignment horizontal="left" vertical="center"/>
    </xf>
    <xf numFmtId="0" fontId="2" fillId="0" borderId="7" xfId="0" applyFont="1" applyBorder="1" applyAlignment="1">
      <alignment vertical="center"/>
    </xf>
    <xf numFmtId="166" fontId="0" fillId="0" borderId="0" xfId="0" applyNumberFormat="1"/>
    <xf numFmtId="166" fontId="2" fillId="0" borderId="5" xfId="0" applyNumberFormat="1" applyFont="1" applyFill="1" applyBorder="1" applyAlignment="1">
      <alignment horizontal="left" vertical="center"/>
    </xf>
    <xf numFmtId="0" fontId="0" fillId="0" borderId="0" xfId="0" applyAlignment="1"/>
    <xf numFmtId="0" fontId="2" fillId="0" borderId="0" xfId="0" applyFont="1" applyBorder="1" applyAlignment="1">
      <alignment horizontal="left" vertical="center" indent="1"/>
    </xf>
    <xf numFmtId="0" fontId="15" fillId="0" borderId="13" xfId="0" applyFont="1" applyBorder="1" applyAlignment="1"/>
    <xf numFmtId="0" fontId="0" fillId="0" borderId="13" xfId="0" applyBorder="1" applyAlignment="1">
      <alignment vertical="center"/>
    </xf>
    <xf numFmtId="0" fontId="2" fillId="0" borderId="0" xfId="0" applyFont="1" applyBorder="1" applyAlignment="1">
      <alignment horizontal="center"/>
    </xf>
    <xf numFmtId="0" fontId="2" fillId="0" borderId="5" xfId="0" applyFont="1" applyBorder="1" applyAlignment="1">
      <alignment horizontal="center"/>
    </xf>
    <xf numFmtId="0" fontId="4" fillId="0" borderId="0" xfId="0" applyNumberFormat="1" applyFont="1" applyBorder="1" applyAlignment="1">
      <alignment horizontal="center" vertical="center"/>
    </xf>
    <xf numFmtId="0" fontId="15" fillId="6" borderId="0" xfId="0" applyFont="1" applyFill="1" applyBorder="1"/>
    <xf numFmtId="0" fontId="15" fillId="6" borderId="15" xfId="0" applyFont="1" applyFill="1" applyBorder="1" applyAlignment="1">
      <alignment horizontal="left"/>
    </xf>
    <xf numFmtId="166" fontId="2" fillId="0" borderId="0" xfId="0" applyNumberFormat="1" applyFont="1" applyBorder="1" applyAlignment="1">
      <alignment horizontal="left"/>
    </xf>
    <xf numFmtId="0" fontId="2" fillId="0" borderId="0" xfId="0" applyFont="1" applyBorder="1" applyAlignment="1">
      <alignment horizontal="right"/>
    </xf>
    <xf numFmtId="14" fontId="5" fillId="2" borderId="5" xfId="0" applyNumberFormat="1" applyFont="1" applyFill="1" applyBorder="1" applyAlignment="1">
      <alignment horizontal="left" vertical="center"/>
    </xf>
    <xf numFmtId="14" fontId="2" fillId="0" borderId="0" xfId="0" applyNumberFormat="1" applyFont="1" applyBorder="1" applyAlignment="1">
      <alignment horizontal="left"/>
    </xf>
    <xf numFmtId="0" fontId="2" fillId="0" borderId="2" xfId="0" applyFont="1" applyBorder="1" applyAlignment="1">
      <alignment vertical="center"/>
    </xf>
    <xf numFmtId="0" fontId="2" fillId="0" borderId="3" xfId="0" applyFont="1" applyBorder="1" applyAlignment="1">
      <alignment vertical="center"/>
    </xf>
    <xf numFmtId="0" fontId="2" fillId="0" borderId="0" xfId="0" applyFont="1"/>
    <xf numFmtId="0" fontId="13" fillId="0" borderId="2" xfId="0" applyFont="1" applyBorder="1" applyAlignment="1">
      <alignment horizontal="center" vertical="center"/>
    </xf>
    <xf numFmtId="1" fontId="2" fillId="0" borderId="7" xfId="0" applyNumberFormat="1" applyFont="1" applyFill="1" applyBorder="1" applyAlignment="1">
      <alignment horizontal="center" vertical="center"/>
    </xf>
    <xf numFmtId="1" fontId="2" fillId="0" borderId="0" xfId="0" applyNumberFormat="1" applyFont="1" applyFill="1" applyBorder="1" applyAlignment="1">
      <alignment horizontal="center" vertical="center"/>
    </xf>
    <xf numFmtId="14" fontId="0" fillId="0" borderId="0" xfId="0" applyNumberFormat="1"/>
    <xf numFmtId="166" fontId="0" fillId="0" borderId="0" xfId="0" applyNumberFormat="1" applyBorder="1"/>
    <xf numFmtId="14" fontId="0" fillId="0" borderId="0" xfId="0" applyNumberFormat="1" applyBorder="1"/>
    <xf numFmtId="0" fontId="5" fillId="0" borderId="0" xfId="0" applyFont="1" applyFill="1" applyBorder="1" applyAlignment="1">
      <alignment horizontal="right"/>
    </xf>
    <xf numFmtId="0" fontId="5" fillId="0" borderId="0" xfId="0" applyFont="1" applyFill="1" applyBorder="1" applyAlignment="1">
      <alignment horizontal="left"/>
    </xf>
    <xf numFmtId="0" fontId="5" fillId="0" borderId="5" xfId="0" applyFont="1" applyFill="1" applyBorder="1" applyAlignment="1">
      <alignment horizontal="left"/>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8" xfId="0" applyFont="1" applyBorder="1" applyAlignment="1">
      <alignment horizontal="center" vertical="center" wrapText="1"/>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2" fillId="2" borderId="0" xfId="0" applyFont="1" applyFill="1" applyBorder="1" applyAlignment="1">
      <alignment horizontal="left" vertical="center"/>
    </xf>
    <xf numFmtId="0" fontId="2" fillId="2" borderId="0" xfId="0" applyFont="1" applyFill="1" applyBorder="1" applyAlignment="1">
      <alignment vertical="center"/>
    </xf>
    <xf numFmtId="0" fontId="6" fillId="0" borderId="1" xfId="0" applyFont="1" applyFill="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lignment horizontal="center" vertical="center"/>
    </xf>
    <xf numFmtId="0" fontId="6" fillId="0" borderId="5" xfId="0" applyFont="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167" fontId="6" fillId="0" borderId="9" xfId="0" applyNumberFormat="1" applyFont="1" applyFill="1" applyBorder="1" applyAlignment="1">
      <alignment horizontal="center" vertical="center" wrapText="1"/>
    </xf>
    <xf numFmtId="167" fontId="6" fillId="0" borderId="10" xfId="0" applyNumberFormat="1" applyFont="1" applyBorder="1" applyAlignment="1">
      <alignment horizontal="center" vertical="center" wrapText="1"/>
    </xf>
    <xf numFmtId="167" fontId="6" fillId="0" borderId="11" xfId="0" applyNumberFormat="1" applyFont="1" applyBorder="1" applyAlignment="1">
      <alignment horizontal="center" vertical="center" wrapText="1"/>
    </xf>
    <xf numFmtId="14" fontId="6" fillId="0" borderId="9" xfId="0" applyNumberFormat="1" applyFont="1" applyFill="1" applyBorder="1" applyAlignment="1">
      <alignment horizontal="center" vertical="center" wrapText="1"/>
    </xf>
    <xf numFmtId="14" fontId="6" fillId="0" borderId="10" xfId="0" applyNumberFormat="1" applyFont="1" applyBorder="1" applyAlignment="1">
      <alignment horizontal="center" vertical="center" wrapText="1"/>
    </xf>
    <xf numFmtId="14" fontId="6" fillId="0" borderId="11" xfId="0" applyNumberFormat="1" applyFont="1" applyBorder="1" applyAlignment="1">
      <alignment horizontal="center" vertical="center" wrapText="1"/>
    </xf>
    <xf numFmtId="0" fontId="2" fillId="0" borderId="1" xfId="0" applyFont="1" applyBorder="1" applyAlignment="1">
      <alignment horizontal="left"/>
    </xf>
    <xf numFmtId="0" fontId="2" fillId="0" borderId="2" xfId="0" applyFont="1" applyBorder="1" applyAlignment="1">
      <alignment horizontal="left"/>
    </xf>
    <xf numFmtId="0" fontId="2" fillId="0" borderId="3" xfId="0" applyFont="1" applyBorder="1" applyAlignment="1">
      <alignment horizontal="left"/>
    </xf>
    <xf numFmtId="0" fontId="5" fillId="0" borderId="0" xfId="0" applyFont="1" applyFill="1" applyBorder="1" applyAlignment="1">
      <alignment horizontal="left" vertical="center" wrapText="1"/>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49" fontId="2" fillId="2" borderId="0" xfId="0" applyNumberFormat="1" applyFont="1" applyFill="1" applyBorder="1" applyAlignment="1">
      <alignment horizontal="center" vertical="center" wrapText="1"/>
    </xf>
    <xf numFmtId="49" fontId="2" fillId="2" borderId="5" xfId="0" applyNumberFormat="1" applyFont="1" applyFill="1" applyBorder="1" applyAlignment="1">
      <alignment horizontal="center" vertical="center" wrapText="1"/>
    </xf>
    <xf numFmtId="0" fontId="5" fillId="0" borderId="0" xfId="0" applyFont="1" applyBorder="1" applyAlignment="1"/>
    <xf numFmtId="0" fontId="5" fillId="0" borderId="5" xfId="0" applyFont="1" applyBorder="1" applyAlignment="1"/>
    <xf numFmtId="7" fontId="5" fillId="0" borderId="0" xfId="1" applyNumberFormat="1" applyFont="1" applyFill="1" applyBorder="1" applyAlignment="1">
      <alignment horizontal="left"/>
    </xf>
    <xf numFmtId="7" fontId="5" fillId="0" borderId="5" xfId="1" applyNumberFormat="1" applyFont="1" applyFill="1" applyBorder="1" applyAlignment="1">
      <alignment horizontal="left"/>
    </xf>
    <xf numFmtId="0" fontId="9" fillId="0" borderId="0" xfId="0" applyFont="1" applyFill="1" applyBorder="1" applyAlignment="1">
      <alignment horizontal="left" wrapText="1"/>
    </xf>
    <xf numFmtId="0" fontId="9" fillId="0" borderId="5" xfId="0" applyFont="1" applyFill="1" applyBorder="1" applyAlignment="1">
      <alignment horizontal="left" wrapText="1"/>
    </xf>
    <xf numFmtId="0" fontId="5" fillId="0" borderId="0" xfId="0" applyFont="1" applyFill="1" applyBorder="1" applyAlignment="1"/>
    <xf numFmtId="0" fontId="5" fillId="0" borderId="5" xfId="0" applyFont="1" applyFill="1" applyBorder="1" applyAlignment="1"/>
    <xf numFmtId="0" fontId="2" fillId="0" borderId="7" xfId="0" applyFont="1" applyBorder="1" applyAlignment="1"/>
    <xf numFmtId="0" fontId="2" fillId="0" borderId="8" xfId="0" applyFont="1" applyBorder="1" applyAlignment="1"/>
    <xf numFmtId="0" fontId="10" fillId="0" borderId="0" xfId="0" applyFont="1" applyBorder="1" applyAlignment="1">
      <alignment horizontal="left" indent="14"/>
    </xf>
    <xf numFmtId="0" fontId="5" fillId="0" borderId="0" xfId="0" applyFont="1" applyFill="1" applyBorder="1" applyAlignment="1">
      <alignment horizontal="left" wrapText="1"/>
    </xf>
    <xf numFmtId="0" fontId="5" fillId="2" borderId="0" xfId="0" applyFont="1" applyFill="1" applyBorder="1" applyAlignment="1">
      <alignment horizontal="left" wrapText="1"/>
    </xf>
    <xf numFmtId="0" fontId="5" fillId="2" borderId="5" xfId="0" applyFont="1" applyFill="1" applyBorder="1" applyAlignment="1">
      <alignment horizontal="left" wrapText="1"/>
    </xf>
    <xf numFmtId="0" fontId="5" fillId="0" borderId="7" xfId="0" applyFont="1" applyFill="1" applyBorder="1" applyAlignment="1">
      <alignment horizontal="center"/>
    </xf>
    <xf numFmtId="0" fontId="5" fillId="0" borderId="8" xfId="0" applyFont="1" applyFill="1" applyBorder="1" applyAlignment="1">
      <alignment horizontal="center"/>
    </xf>
    <xf numFmtId="0" fontId="5" fillId="0" borderId="6" xfId="0" applyFont="1" applyFill="1" applyBorder="1" applyAlignment="1">
      <alignment horizont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10" fillId="2" borderId="1" xfId="0" applyFont="1" applyFill="1" applyBorder="1" applyAlignment="1">
      <alignment horizontal="center" vertical="center"/>
    </xf>
    <xf numFmtId="0" fontId="9" fillId="0" borderId="0" xfId="0" applyFont="1" applyFill="1" applyBorder="1" applyAlignment="1">
      <alignment horizontal="center" vertical="top" wrapText="1"/>
    </xf>
    <xf numFmtId="0" fontId="9" fillId="0" borderId="5" xfId="0" applyFont="1" applyFill="1" applyBorder="1" applyAlignment="1">
      <alignment horizontal="center" vertical="top" wrapText="1"/>
    </xf>
    <xf numFmtId="0" fontId="5" fillId="0" borderId="4" xfId="0" applyFont="1" applyFill="1" applyBorder="1" applyAlignment="1">
      <alignment horizontal="left" vertical="center" wrapText="1" indent="1"/>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left"/>
    </xf>
    <xf numFmtId="0" fontId="2" fillId="0" borderId="0" xfId="0" applyFont="1" applyBorder="1" applyAlignment="1"/>
    <xf numFmtId="0" fontId="2" fillId="0" borderId="5" xfId="0" applyFont="1" applyBorder="1" applyAlignment="1"/>
    <xf numFmtId="0" fontId="2" fillId="0" borderId="0" xfId="0" applyFont="1" applyBorder="1" applyAlignment="1">
      <alignment horizontal="justify" vertical="center"/>
    </xf>
    <xf numFmtId="0" fontId="2" fillId="0" borderId="5" xfId="0" applyFont="1" applyBorder="1" applyAlignment="1">
      <alignment horizontal="justify" vertical="center"/>
    </xf>
    <xf numFmtId="0" fontId="9" fillId="0" borderId="2" xfId="0" applyFont="1" applyFill="1" applyBorder="1" applyAlignment="1">
      <alignment horizontal="left" vertical="top" wrapText="1"/>
    </xf>
    <xf numFmtId="0" fontId="9" fillId="0" borderId="2" xfId="0" applyFont="1" applyBorder="1" applyAlignment="1">
      <alignment horizontal="left" vertical="top" wrapText="1"/>
    </xf>
    <xf numFmtId="0" fontId="9" fillId="0" borderId="3"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10" fillId="0" borderId="4" xfId="0" applyFont="1" applyBorder="1" applyAlignment="1">
      <alignment horizontal="left"/>
    </xf>
    <xf numFmtId="0" fontId="10" fillId="0" borderId="0" xfId="0" applyFont="1" applyBorder="1" applyAlignment="1">
      <alignment horizontal="left"/>
    </xf>
    <xf numFmtId="0" fontId="10" fillId="0" borderId="5" xfId="0" applyFont="1" applyBorder="1" applyAlignment="1">
      <alignment horizontal="left"/>
    </xf>
    <xf numFmtId="0" fontId="13" fillId="0" borderId="7" xfId="0" applyFont="1" applyBorder="1" applyAlignment="1">
      <alignment horizontal="left" vertical="center" indent="36"/>
    </xf>
    <xf numFmtId="0" fontId="13" fillId="0" borderId="8" xfId="0" applyFont="1" applyBorder="1" applyAlignment="1">
      <alignment horizontal="left" vertical="center" indent="36"/>
    </xf>
    <xf numFmtId="0" fontId="5" fillId="0" borderId="4" xfId="0" applyFont="1" applyBorder="1" applyAlignment="1">
      <alignment horizontal="center"/>
    </xf>
    <xf numFmtId="0" fontId="5" fillId="0" borderId="0" xfId="0" applyFont="1" applyBorder="1" applyAlignment="1">
      <alignment horizontal="center"/>
    </xf>
    <xf numFmtId="0" fontId="5" fillId="0" borderId="5" xfId="0" applyFont="1" applyBorder="1" applyAlignment="1">
      <alignment horizontal="center"/>
    </xf>
    <xf numFmtId="0" fontId="10" fillId="0" borderId="6"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4" fillId="0" borderId="0" xfId="0" applyFont="1" applyBorder="1" applyAlignment="1">
      <alignment horizontal="center"/>
    </xf>
    <xf numFmtId="0" fontId="4" fillId="0" borderId="5" xfId="0" applyFont="1" applyBorder="1" applyAlignment="1">
      <alignment horizontal="center"/>
    </xf>
    <xf numFmtId="0" fontId="12" fillId="0" borderId="0" xfId="0" applyFont="1" applyBorder="1" applyAlignment="1">
      <alignment horizontal="center" wrapText="1"/>
    </xf>
    <xf numFmtId="0" fontId="12" fillId="0" borderId="5" xfId="0" applyFont="1" applyBorder="1" applyAlignment="1">
      <alignment horizontal="center" wrapText="1"/>
    </xf>
    <xf numFmtId="0" fontId="4" fillId="0" borderId="7" xfId="0" applyFont="1" applyBorder="1" applyAlignment="1">
      <alignment horizontal="center" vertical="top"/>
    </xf>
    <xf numFmtId="0" fontId="4" fillId="0" borderId="8" xfId="0" applyFont="1" applyBorder="1" applyAlignment="1">
      <alignment horizontal="center" vertical="top"/>
    </xf>
    <xf numFmtId="0" fontId="2" fillId="0" borderId="0" xfId="0" applyFont="1" applyBorder="1" applyAlignment="1">
      <alignment horizontal="center"/>
    </xf>
    <xf numFmtId="0" fontId="2" fillId="0" borderId="5" xfId="0" applyFont="1" applyBorder="1" applyAlignment="1">
      <alignment horizontal="center"/>
    </xf>
    <xf numFmtId="0" fontId="14" fillId="3" borderId="20" xfId="0" applyFont="1" applyFill="1" applyBorder="1" applyAlignment="1">
      <alignment horizontal="center" vertical="center"/>
    </xf>
    <xf numFmtId="0" fontId="14" fillId="3" borderId="21" xfId="0" applyFont="1" applyFill="1" applyBorder="1" applyAlignment="1">
      <alignment horizontal="center" vertical="center"/>
    </xf>
    <xf numFmtId="0" fontId="14" fillId="3" borderId="22" xfId="0" applyFont="1" applyFill="1" applyBorder="1" applyAlignment="1">
      <alignment horizontal="center" vertical="center"/>
    </xf>
    <xf numFmtId="0" fontId="17" fillId="5" borderId="13" xfId="0" applyFont="1" applyFill="1" applyBorder="1" applyAlignment="1">
      <alignment horizontal="center"/>
    </xf>
    <xf numFmtId="0" fontId="15" fillId="7" borderId="16" xfId="0" applyFont="1" applyFill="1" applyBorder="1" applyAlignment="1">
      <alignment horizontal="left"/>
    </xf>
    <xf numFmtId="0" fontId="0" fillId="0" borderId="0" xfId="0" applyFill="1" applyBorder="1" applyAlignment="1">
      <alignment horizontal="left" vertical="top" wrapText="1"/>
    </xf>
    <xf numFmtId="0" fontId="0" fillId="0" borderId="24" xfId="0" applyFill="1" applyBorder="1" applyAlignment="1">
      <alignment horizontal="left" vertical="top" wrapText="1"/>
    </xf>
    <xf numFmtId="0" fontId="0" fillId="0" borderId="25" xfId="0" applyFill="1" applyBorder="1" applyAlignment="1">
      <alignment horizontal="left" vertical="top" wrapText="1"/>
    </xf>
    <xf numFmtId="0" fontId="0" fillId="0" borderId="23" xfId="0" applyFill="1" applyBorder="1" applyAlignment="1">
      <alignment horizontal="left" vertical="top" wrapText="1"/>
    </xf>
    <xf numFmtId="0" fontId="17" fillId="6" borderId="0" xfId="0" applyNumberFormat="1" applyFont="1" applyFill="1" applyBorder="1" applyAlignment="1">
      <alignment horizontal="center"/>
    </xf>
    <xf numFmtId="1" fontId="0" fillId="0" borderId="16" xfId="1" applyNumberFormat="1" applyFont="1" applyFill="1" applyBorder="1" applyAlignment="1">
      <alignment horizontal="left"/>
    </xf>
    <xf numFmtId="1" fontId="0" fillId="7" borderId="16" xfId="1" applyNumberFormat="1" applyFont="1" applyFill="1" applyBorder="1" applyAlignment="1">
      <alignment horizontal="left"/>
    </xf>
    <xf numFmtId="1" fontId="0" fillId="7" borderId="17" xfId="1" applyNumberFormat="1" applyFont="1" applyFill="1" applyBorder="1" applyAlignment="1">
      <alignment horizontal="left"/>
    </xf>
    <xf numFmtId="0" fontId="16" fillId="5" borderId="13" xfId="0" applyFont="1" applyFill="1" applyBorder="1" applyAlignment="1">
      <alignment horizontal="center"/>
    </xf>
    <xf numFmtId="166" fontId="0" fillId="0" borderId="16" xfId="0" applyNumberFormat="1" applyFill="1" applyBorder="1" applyAlignment="1">
      <alignment horizontal="left"/>
    </xf>
    <xf numFmtId="166" fontId="0" fillId="7" borderId="16" xfId="0" applyNumberFormat="1" applyFill="1" applyBorder="1" applyAlignment="1">
      <alignment horizontal="left"/>
    </xf>
    <xf numFmtId="166" fontId="0" fillId="7" borderId="17" xfId="0" applyNumberFormat="1" applyFill="1" applyBorder="1" applyAlignment="1">
      <alignment horizontal="left"/>
    </xf>
    <xf numFmtId="0" fontId="0" fillId="0" borderId="16" xfId="0" applyFill="1" applyBorder="1" applyAlignment="1">
      <alignment horizontal="left"/>
    </xf>
    <xf numFmtId="0" fontId="0" fillId="7" borderId="16" xfId="0" applyFill="1" applyBorder="1" applyAlignment="1">
      <alignment horizontal="left"/>
    </xf>
    <xf numFmtId="0" fontId="0" fillId="7" borderId="17" xfId="0" applyFill="1" applyBorder="1" applyAlignment="1">
      <alignment horizontal="left"/>
    </xf>
    <xf numFmtId="164" fontId="0" fillId="0" borderId="16" xfId="1" applyNumberFormat="1" applyFont="1" applyFill="1" applyBorder="1" applyAlignment="1">
      <alignment horizontal="left"/>
    </xf>
    <xf numFmtId="44" fontId="0" fillId="7" borderId="16" xfId="1" applyFont="1" applyFill="1" applyBorder="1" applyAlignment="1">
      <alignment horizontal="left"/>
    </xf>
    <xf numFmtId="44" fontId="0" fillId="7" borderId="17" xfId="1" applyFont="1" applyFill="1" applyBorder="1" applyAlignment="1">
      <alignment horizontal="left"/>
    </xf>
    <xf numFmtId="49" fontId="0" fillId="0" borderId="16" xfId="0" applyNumberFormat="1" applyFill="1" applyBorder="1" applyAlignment="1">
      <alignment horizontal="left"/>
    </xf>
    <xf numFmtId="49" fontId="0" fillId="7" borderId="16" xfId="0" applyNumberFormat="1" applyFill="1" applyBorder="1" applyAlignment="1">
      <alignment horizontal="left"/>
    </xf>
    <xf numFmtId="49" fontId="0" fillId="7" borderId="17" xfId="0" applyNumberFormat="1" applyFill="1" applyBorder="1" applyAlignment="1">
      <alignment horizontal="left"/>
    </xf>
    <xf numFmtId="167" fontId="0" fillId="0" borderId="16" xfId="0" applyNumberFormat="1" applyFill="1" applyBorder="1" applyAlignment="1">
      <alignment horizontal="left"/>
    </xf>
    <xf numFmtId="167" fontId="0" fillId="7" borderId="16" xfId="0" applyNumberFormat="1" applyFill="1" applyBorder="1" applyAlignment="1">
      <alignment horizontal="left"/>
    </xf>
    <xf numFmtId="167" fontId="0" fillId="7" borderId="17" xfId="0" applyNumberFormat="1" applyFill="1" applyBorder="1" applyAlignment="1">
      <alignment horizontal="left"/>
    </xf>
    <xf numFmtId="14" fontId="0" fillId="0" borderId="16" xfId="0" applyNumberFormat="1" applyFill="1" applyBorder="1" applyAlignment="1">
      <alignment horizontal="left"/>
    </xf>
    <xf numFmtId="0" fontId="0" fillId="7" borderId="0" xfId="0" applyFill="1" applyBorder="1" applyAlignment="1">
      <alignment horizontal="left" vertical="top" wrapText="1"/>
    </xf>
    <xf numFmtId="0" fontId="0" fillId="7" borderId="15" xfId="0" applyFill="1" applyBorder="1" applyAlignment="1">
      <alignment horizontal="left" vertical="top" wrapText="1"/>
    </xf>
    <xf numFmtId="0" fontId="0" fillId="7" borderId="16" xfId="0" applyFill="1" applyBorder="1" applyAlignment="1">
      <alignment horizontal="left" vertical="top" wrapText="1"/>
    </xf>
    <xf numFmtId="0" fontId="0" fillId="7" borderId="17" xfId="0" applyFill="1" applyBorder="1" applyAlignment="1">
      <alignment horizontal="left" vertical="top" wrapText="1"/>
    </xf>
    <xf numFmtId="0" fontId="0" fillId="0" borderId="16" xfId="1" applyNumberFormat="1" applyFont="1" applyFill="1" applyBorder="1" applyAlignment="1" applyProtection="1">
      <alignment horizontal="left"/>
      <protection locked="0"/>
    </xf>
    <xf numFmtId="0" fontId="0" fillId="7" borderId="16" xfId="1" applyNumberFormat="1" applyFont="1" applyFill="1" applyBorder="1" applyAlignment="1" applyProtection="1">
      <alignment horizontal="left"/>
      <protection locked="0"/>
    </xf>
    <xf numFmtId="0" fontId="0" fillId="7" borderId="17" xfId="1" applyNumberFormat="1" applyFont="1" applyFill="1" applyBorder="1" applyAlignment="1" applyProtection="1">
      <alignment horizontal="left"/>
      <protection locked="0"/>
    </xf>
    <xf numFmtId="165" fontId="0" fillId="0" borderId="16" xfId="1" applyNumberFormat="1" applyFont="1" applyFill="1" applyBorder="1" applyAlignment="1">
      <alignment horizontal="left"/>
    </xf>
    <xf numFmtId="165" fontId="0" fillId="7" borderId="16" xfId="1" applyNumberFormat="1" applyFont="1" applyFill="1" applyBorder="1" applyAlignment="1">
      <alignment horizontal="left"/>
    </xf>
    <xf numFmtId="165" fontId="0" fillId="7" borderId="17" xfId="1" applyNumberFormat="1" applyFont="1" applyFill="1" applyBorder="1" applyAlignment="1">
      <alignment horizontal="left"/>
    </xf>
    <xf numFmtId="164" fontId="18" fillId="0" borderId="0" xfId="1" applyNumberFormat="1" applyFont="1" applyFill="1" applyBorder="1" applyAlignment="1">
      <alignment horizontal="left" vertical="top" wrapText="1"/>
    </xf>
    <xf numFmtId="164" fontId="18" fillId="0" borderId="15" xfId="1" applyNumberFormat="1" applyFont="1" applyFill="1" applyBorder="1" applyAlignment="1">
      <alignment horizontal="left" vertical="top" wrapText="1"/>
    </xf>
    <xf numFmtId="164" fontId="18" fillId="0" borderId="16" xfId="1" applyNumberFormat="1" applyFont="1" applyFill="1" applyBorder="1" applyAlignment="1">
      <alignment horizontal="left" vertical="top" wrapText="1"/>
    </xf>
    <xf numFmtId="164" fontId="18" fillId="0" borderId="17" xfId="1" applyNumberFormat="1" applyFont="1" applyFill="1" applyBorder="1" applyAlignment="1">
      <alignment horizontal="left" vertical="top" wrapText="1"/>
    </xf>
    <xf numFmtId="0" fontId="0" fillId="0" borderId="0" xfId="0" applyAlignment="1">
      <alignment horizontal="center" vertical="center"/>
    </xf>
  </cellXfs>
  <cellStyles count="2">
    <cellStyle name="Moneda"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6</xdr:col>
      <xdr:colOff>438150</xdr:colOff>
      <xdr:row>28</xdr:row>
      <xdr:rowOff>180975</xdr:rowOff>
    </xdr:from>
    <xdr:to>
      <xdr:col>8</xdr:col>
      <xdr:colOff>1171575</xdr:colOff>
      <xdr:row>28</xdr:row>
      <xdr:rowOff>182563</xdr:rowOff>
    </xdr:to>
    <xdr:cxnSp macro="">
      <xdr:nvCxnSpPr>
        <xdr:cNvPr id="2" name="1 Conector recto">
          <a:extLst>
            <a:ext uri="{FF2B5EF4-FFF2-40B4-BE49-F238E27FC236}">
              <a16:creationId xmlns:a16="http://schemas.microsoft.com/office/drawing/2014/main" id="{00000000-0008-0000-0000-000002000000}"/>
            </a:ext>
          </a:extLst>
        </xdr:cNvPr>
        <xdr:cNvCxnSpPr/>
      </xdr:nvCxnSpPr>
      <xdr:spPr>
        <a:xfrm>
          <a:off x="6105525" y="5524500"/>
          <a:ext cx="1419225" cy="1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314325</xdr:colOff>
          <xdr:row>8</xdr:row>
          <xdr:rowOff>19050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762000</xdr:colOff>
          <xdr:row>7</xdr:row>
          <xdr:rowOff>0</xdr:rowOff>
        </xdr:from>
        <xdr:to>
          <xdr:col>5</xdr:col>
          <xdr:colOff>1095375</xdr:colOff>
          <xdr:row>8</xdr:row>
          <xdr:rowOff>9525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xdr:row>
          <xdr:rowOff>0</xdr:rowOff>
        </xdr:from>
        <xdr:to>
          <xdr:col>8</xdr:col>
          <xdr:colOff>552450</xdr:colOff>
          <xdr:row>8</xdr:row>
          <xdr:rowOff>9525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24</xdr:row>
          <xdr:rowOff>9525</xdr:rowOff>
        </xdr:from>
        <xdr:to>
          <xdr:col>3</xdr:col>
          <xdr:colOff>200025</xdr:colOff>
          <xdr:row>25</xdr:row>
          <xdr:rowOff>28575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25</xdr:row>
          <xdr:rowOff>9525</xdr:rowOff>
        </xdr:from>
        <xdr:to>
          <xdr:col>3</xdr:col>
          <xdr:colOff>200025</xdr:colOff>
          <xdr:row>26</xdr:row>
          <xdr:rowOff>28575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26</xdr:row>
          <xdr:rowOff>9525</xdr:rowOff>
        </xdr:from>
        <xdr:to>
          <xdr:col>3</xdr:col>
          <xdr:colOff>200025</xdr:colOff>
          <xdr:row>27</xdr:row>
          <xdr:rowOff>28575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27</xdr:row>
          <xdr:rowOff>9525</xdr:rowOff>
        </xdr:from>
        <xdr:to>
          <xdr:col>3</xdr:col>
          <xdr:colOff>200025</xdr:colOff>
          <xdr:row>28</xdr:row>
          <xdr:rowOff>28575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28</xdr:row>
          <xdr:rowOff>9525</xdr:rowOff>
        </xdr:from>
        <xdr:to>
          <xdr:col>3</xdr:col>
          <xdr:colOff>257175</xdr:colOff>
          <xdr:row>29</xdr:row>
          <xdr:rowOff>28575</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29</xdr:row>
          <xdr:rowOff>9525</xdr:rowOff>
        </xdr:from>
        <xdr:to>
          <xdr:col>3</xdr:col>
          <xdr:colOff>257175</xdr:colOff>
          <xdr:row>30</xdr:row>
          <xdr:rowOff>28575</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24</xdr:row>
          <xdr:rowOff>9525</xdr:rowOff>
        </xdr:from>
        <xdr:to>
          <xdr:col>5</xdr:col>
          <xdr:colOff>876300</xdr:colOff>
          <xdr:row>25</xdr:row>
          <xdr:rowOff>28575</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25</xdr:row>
          <xdr:rowOff>9525</xdr:rowOff>
        </xdr:from>
        <xdr:to>
          <xdr:col>5</xdr:col>
          <xdr:colOff>876300</xdr:colOff>
          <xdr:row>26</xdr:row>
          <xdr:rowOff>28575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26</xdr:row>
          <xdr:rowOff>9525</xdr:rowOff>
        </xdr:from>
        <xdr:to>
          <xdr:col>5</xdr:col>
          <xdr:colOff>876300</xdr:colOff>
          <xdr:row>27</xdr:row>
          <xdr:rowOff>28575</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9525</xdr:rowOff>
        </xdr:from>
        <xdr:to>
          <xdr:col>5</xdr:col>
          <xdr:colOff>876300</xdr:colOff>
          <xdr:row>28</xdr:row>
          <xdr:rowOff>28575</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9525</xdr:rowOff>
        </xdr:from>
        <xdr:to>
          <xdr:col>5</xdr:col>
          <xdr:colOff>876300</xdr:colOff>
          <xdr:row>29</xdr:row>
          <xdr:rowOff>28575</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9525</xdr:rowOff>
        </xdr:from>
        <xdr:to>
          <xdr:col>5</xdr:col>
          <xdr:colOff>876300</xdr:colOff>
          <xdr:row>30</xdr:row>
          <xdr:rowOff>28575</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24</xdr:row>
          <xdr:rowOff>9525</xdr:rowOff>
        </xdr:from>
        <xdr:to>
          <xdr:col>7</xdr:col>
          <xdr:colOff>428625</xdr:colOff>
          <xdr:row>25</xdr:row>
          <xdr:rowOff>28575</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25</xdr:row>
          <xdr:rowOff>9525</xdr:rowOff>
        </xdr:from>
        <xdr:to>
          <xdr:col>7</xdr:col>
          <xdr:colOff>428625</xdr:colOff>
          <xdr:row>26</xdr:row>
          <xdr:rowOff>28575</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26</xdr:row>
          <xdr:rowOff>9525</xdr:rowOff>
        </xdr:from>
        <xdr:to>
          <xdr:col>7</xdr:col>
          <xdr:colOff>428625</xdr:colOff>
          <xdr:row>27</xdr:row>
          <xdr:rowOff>28575</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27</xdr:row>
          <xdr:rowOff>9525</xdr:rowOff>
        </xdr:from>
        <xdr:to>
          <xdr:col>7</xdr:col>
          <xdr:colOff>428625</xdr:colOff>
          <xdr:row>28</xdr:row>
          <xdr:rowOff>28575</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28</xdr:row>
          <xdr:rowOff>9525</xdr:rowOff>
        </xdr:from>
        <xdr:to>
          <xdr:col>5</xdr:col>
          <xdr:colOff>1885950</xdr:colOff>
          <xdr:row>29</xdr:row>
          <xdr:rowOff>38100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29</xdr:row>
          <xdr:rowOff>9525</xdr:rowOff>
        </xdr:from>
        <xdr:to>
          <xdr:col>7</xdr:col>
          <xdr:colOff>428625</xdr:colOff>
          <xdr:row>30</xdr:row>
          <xdr:rowOff>28575</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24</xdr:row>
          <xdr:rowOff>9525</xdr:rowOff>
        </xdr:from>
        <xdr:to>
          <xdr:col>9</xdr:col>
          <xdr:colOff>428625</xdr:colOff>
          <xdr:row>25</xdr:row>
          <xdr:rowOff>28575</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25</xdr:row>
          <xdr:rowOff>9525</xdr:rowOff>
        </xdr:from>
        <xdr:to>
          <xdr:col>9</xdr:col>
          <xdr:colOff>428625</xdr:colOff>
          <xdr:row>26</xdr:row>
          <xdr:rowOff>28575</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26</xdr:row>
          <xdr:rowOff>9525</xdr:rowOff>
        </xdr:from>
        <xdr:to>
          <xdr:col>9</xdr:col>
          <xdr:colOff>428625</xdr:colOff>
          <xdr:row>27</xdr:row>
          <xdr:rowOff>28575</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27</xdr:row>
          <xdr:rowOff>9525</xdr:rowOff>
        </xdr:from>
        <xdr:to>
          <xdr:col>9</xdr:col>
          <xdr:colOff>428625</xdr:colOff>
          <xdr:row>28</xdr:row>
          <xdr:rowOff>28575</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0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295275</xdr:colOff>
          <xdr:row>8</xdr:row>
          <xdr:rowOff>19050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762000</xdr:colOff>
          <xdr:row>7</xdr:row>
          <xdr:rowOff>0</xdr:rowOff>
        </xdr:from>
        <xdr:to>
          <xdr:col>5</xdr:col>
          <xdr:colOff>1095375</xdr:colOff>
          <xdr:row>8</xdr:row>
          <xdr:rowOff>9525</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xdr:row>
          <xdr:rowOff>0</xdr:rowOff>
        </xdr:from>
        <xdr:to>
          <xdr:col>8</xdr:col>
          <xdr:colOff>590550</xdr:colOff>
          <xdr:row>8</xdr:row>
          <xdr:rowOff>9525</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883921</xdr:colOff>
      <xdr:row>2</xdr:row>
      <xdr:rowOff>19971</xdr:rowOff>
    </xdr:from>
    <xdr:to>
      <xdr:col>2</xdr:col>
      <xdr:colOff>502104</xdr:colOff>
      <xdr:row>6</xdr:row>
      <xdr:rowOff>5714</xdr:rowOff>
    </xdr:to>
    <xdr:pic>
      <xdr:nvPicPr>
        <xdr:cNvPr id="33" name="36 Imagen" descr="C:\Users\flucas\Downloads\prefectura-el-oro-logo.png">
          <a:extLst>
            <a:ext uri="{FF2B5EF4-FFF2-40B4-BE49-F238E27FC236}">
              <a16:creationId xmlns:a16="http://schemas.microsoft.com/office/drawing/2014/main" id="{00000000-0008-0000-0000-000021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879" t="7175" r="13523" b="7804"/>
        <a:stretch/>
      </xdr:blipFill>
      <xdr:spPr bwMode="auto">
        <a:xfrm>
          <a:off x="979171" y="400971"/>
          <a:ext cx="1040130" cy="747743"/>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10</xdr:col>
          <xdr:colOff>9525</xdr:colOff>
          <xdr:row>5</xdr:row>
          <xdr:rowOff>0</xdr:rowOff>
        </xdr:from>
        <xdr:to>
          <xdr:col>12</xdr:col>
          <xdr:colOff>114300</xdr:colOff>
          <xdr:row>7</xdr:row>
          <xdr:rowOff>9525</xdr:rowOff>
        </xdr:to>
        <xdr:sp macro="" textlink="">
          <xdr:nvSpPr>
            <xdr:cNvPr id="3102" name="cmdReset" hidden="1">
              <a:extLst>
                <a:ext uri="{63B3BB69-23CF-44E3-9099-C40C66FF867C}">
                  <a14:compatExt spid="_x0000_s3102"/>
                </a:ext>
                <a:ext uri="{FF2B5EF4-FFF2-40B4-BE49-F238E27FC236}">
                  <a16:creationId xmlns:a16="http://schemas.microsoft.com/office/drawing/2014/main" id="{00000000-0008-0000-00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8</xdr:row>
          <xdr:rowOff>9525</xdr:rowOff>
        </xdr:from>
        <xdr:to>
          <xdr:col>12</xdr:col>
          <xdr:colOff>123825</xdr:colOff>
          <xdr:row>10</xdr:row>
          <xdr:rowOff>9525</xdr:rowOff>
        </xdr:to>
        <xdr:sp macro="" textlink="">
          <xdr:nvSpPr>
            <xdr:cNvPr id="3103" name="cmdprint"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xdr:row>
          <xdr:rowOff>9525</xdr:rowOff>
        </xdr:from>
        <xdr:to>
          <xdr:col>12</xdr:col>
          <xdr:colOff>123825</xdr:colOff>
          <xdr:row>4</xdr:row>
          <xdr:rowOff>0</xdr:rowOff>
        </xdr:to>
        <xdr:sp macro="" textlink="">
          <xdr:nvSpPr>
            <xdr:cNvPr id="3104" name="cmdSearch"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75</xdr:row>
      <xdr:rowOff>19050</xdr:rowOff>
    </xdr:from>
    <xdr:to>
      <xdr:col>8</xdr:col>
      <xdr:colOff>1323975</xdr:colOff>
      <xdr:row>75</xdr:row>
      <xdr:rowOff>19052</xdr:rowOff>
    </xdr:to>
    <xdr:cxnSp macro="">
      <xdr:nvCxnSpPr>
        <xdr:cNvPr id="38" name="4 Conector recto">
          <a:extLst>
            <a:ext uri="{FF2B5EF4-FFF2-40B4-BE49-F238E27FC236}">
              <a16:creationId xmlns:a16="http://schemas.microsoft.com/office/drawing/2014/main" id="{00000000-0008-0000-0000-000026000000}"/>
            </a:ext>
          </a:extLst>
        </xdr:cNvPr>
        <xdr:cNvCxnSpPr/>
      </xdr:nvCxnSpPr>
      <xdr:spPr>
        <a:xfrm flipV="1">
          <a:off x="371475" y="16211550"/>
          <a:ext cx="8315325" cy="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419100</xdr:colOff>
          <xdr:row>69</xdr:row>
          <xdr:rowOff>38100</xdr:rowOff>
        </xdr:from>
        <xdr:to>
          <xdr:col>6</xdr:col>
          <xdr:colOff>638175</xdr:colOff>
          <xdr:row>70</xdr:row>
          <xdr:rowOff>161925</xdr:rowOff>
        </xdr:to>
        <xdr:sp macro="" textlink="">
          <xdr:nvSpPr>
            <xdr:cNvPr id="4097" name="cmdSav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69</xdr:row>
          <xdr:rowOff>28575</xdr:rowOff>
        </xdr:from>
        <xdr:to>
          <xdr:col>8</xdr:col>
          <xdr:colOff>114300</xdr:colOff>
          <xdr:row>70</xdr:row>
          <xdr:rowOff>152400</xdr:rowOff>
        </xdr:to>
        <xdr:sp macro="" textlink="">
          <xdr:nvSpPr>
            <xdr:cNvPr id="4098" name="cmdModify"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69</xdr:row>
          <xdr:rowOff>28575</xdr:rowOff>
        </xdr:from>
        <xdr:to>
          <xdr:col>9</xdr:col>
          <xdr:colOff>304800</xdr:colOff>
          <xdr:row>70</xdr:row>
          <xdr:rowOff>142875</xdr:rowOff>
        </xdr:to>
        <xdr:sp macro="" textlink="">
          <xdr:nvSpPr>
            <xdr:cNvPr id="4099" name="cmdDelet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69</xdr:row>
          <xdr:rowOff>28575</xdr:rowOff>
        </xdr:from>
        <xdr:to>
          <xdr:col>10</xdr:col>
          <xdr:colOff>504825</xdr:colOff>
          <xdr:row>70</xdr:row>
          <xdr:rowOff>142875</xdr:rowOff>
        </xdr:to>
        <xdr:sp macro="" textlink="">
          <xdr:nvSpPr>
            <xdr:cNvPr id="4100" name="cmdReset"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L119"/>
  <sheetViews>
    <sheetView zoomScaleNormal="100" workbookViewId="0">
      <selection activeCell="R34" sqref="R34"/>
    </sheetView>
  </sheetViews>
  <sheetFormatPr baseColWidth="10" defaultRowHeight="15" x14ac:dyDescent="0.25"/>
  <cols>
    <col min="1" max="1" width="1.42578125" bestFit="1" customWidth="1"/>
    <col min="2" max="2" width="21.28515625" customWidth="1"/>
    <col min="3" max="3" width="15.42578125" customWidth="1"/>
    <col min="4" max="4" width="16.85546875" customWidth="1"/>
    <col min="5" max="5" width="15.28515625" customWidth="1"/>
    <col min="6" max="6" width="28.85546875" customWidth="1"/>
    <col min="7" max="7" width="5.42578125" customWidth="1"/>
    <col min="8" max="8" width="6.5703125" customWidth="1"/>
    <col min="9" max="9" width="23.5703125" customWidth="1"/>
  </cols>
  <sheetData>
    <row r="1" spans="1:12" x14ac:dyDescent="0.25">
      <c r="K1">
        <v>105</v>
      </c>
      <c r="L1">
        <v>104</v>
      </c>
    </row>
    <row r="3" spans="1:12" x14ac:dyDescent="0.25">
      <c r="A3" s="1" t="s">
        <v>0</v>
      </c>
      <c r="B3" s="2"/>
      <c r="C3" s="2"/>
      <c r="D3" s="3"/>
      <c r="E3" s="100" t="s">
        <v>1</v>
      </c>
      <c r="F3" s="101"/>
      <c r="G3" s="106" t="s">
        <v>2</v>
      </c>
      <c r="H3" s="107"/>
      <c r="I3" s="108"/>
    </row>
    <row r="4" spans="1:12" x14ac:dyDescent="0.25">
      <c r="A4" s="4"/>
      <c r="B4" s="5"/>
      <c r="C4" s="5"/>
      <c r="D4" s="6"/>
      <c r="E4" s="102"/>
      <c r="F4" s="103"/>
      <c r="G4" s="7" t="s">
        <v>3</v>
      </c>
      <c r="H4" s="76" t="s">
        <v>83</v>
      </c>
      <c r="I4" s="74">
        <v>104</v>
      </c>
    </row>
    <row r="5" spans="1:12" x14ac:dyDescent="0.25">
      <c r="A5" s="4"/>
      <c r="B5" s="5"/>
      <c r="C5" s="5"/>
      <c r="D5" s="6"/>
      <c r="E5" s="102"/>
      <c r="F5" s="103"/>
      <c r="G5" s="8" t="s">
        <v>4</v>
      </c>
      <c r="H5" s="71"/>
      <c r="I5" s="86">
        <v>44890</v>
      </c>
    </row>
    <row r="6" spans="1:12" x14ac:dyDescent="0.25">
      <c r="A6" s="9"/>
      <c r="B6" s="10"/>
      <c r="C6" s="10"/>
      <c r="D6" s="11"/>
      <c r="E6" s="104"/>
      <c r="F6" s="105"/>
      <c r="G6" s="12"/>
      <c r="H6" s="72"/>
      <c r="I6" s="13"/>
    </row>
    <row r="7" spans="1:12" x14ac:dyDescent="0.25">
      <c r="A7" s="14"/>
      <c r="B7" s="15"/>
      <c r="C7" s="15"/>
      <c r="D7" s="15"/>
      <c r="E7" s="15"/>
      <c r="F7" s="15"/>
      <c r="G7" s="15"/>
      <c r="H7" s="15"/>
      <c r="I7" s="16"/>
    </row>
    <row r="8" spans="1:12" x14ac:dyDescent="0.25">
      <c r="A8" s="17"/>
      <c r="B8" s="18" t="s">
        <v>5</v>
      </c>
      <c r="C8" s="18"/>
      <c r="D8" s="109" t="s">
        <v>6</v>
      </c>
      <c r="E8" s="109"/>
      <c r="F8" s="19" t="s">
        <v>7</v>
      </c>
      <c r="G8" s="18"/>
      <c r="H8" s="70"/>
      <c r="I8" s="20"/>
    </row>
    <row r="9" spans="1:12" x14ac:dyDescent="0.25">
      <c r="A9" s="21"/>
      <c r="B9" s="22"/>
      <c r="C9" s="22"/>
      <c r="D9" s="22"/>
      <c r="E9" s="22"/>
      <c r="F9" s="22"/>
      <c r="G9" s="22"/>
      <c r="H9" s="22"/>
      <c r="I9" s="23"/>
    </row>
    <row r="10" spans="1:12" x14ac:dyDescent="0.25">
      <c r="A10" s="24"/>
      <c r="B10" s="18" t="s">
        <v>8</v>
      </c>
      <c r="C10" s="25"/>
      <c r="D10" s="18"/>
      <c r="E10" s="19" t="s">
        <v>9</v>
      </c>
      <c r="F10" s="110"/>
      <c r="G10" s="110"/>
      <c r="H10" s="70"/>
      <c r="I10" s="20"/>
    </row>
    <row r="11" spans="1:12" x14ac:dyDescent="0.25">
      <c r="A11" s="26"/>
      <c r="B11" s="27"/>
      <c r="C11" s="27"/>
      <c r="D11" s="27"/>
      <c r="E11" s="27"/>
      <c r="F11" s="27"/>
      <c r="G11" s="27"/>
      <c r="H11" s="27"/>
      <c r="I11" s="28"/>
    </row>
    <row r="12" spans="1:12" x14ac:dyDescent="0.25">
      <c r="A12" s="111" t="s">
        <v>302</v>
      </c>
      <c r="B12" s="112"/>
      <c r="C12" s="112"/>
      <c r="D12" s="112"/>
      <c r="E12" s="113"/>
      <c r="F12" s="111" t="s">
        <v>303</v>
      </c>
      <c r="G12" s="112"/>
      <c r="H12" s="112"/>
      <c r="I12" s="113"/>
    </row>
    <row r="13" spans="1:12" x14ac:dyDescent="0.25">
      <c r="A13" s="114"/>
      <c r="B13" s="115"/>
      <c r="C13" s="115"/>
      <c r="D13" s="115"/>
      <c r="E13" s="116"/>
      <c r="F13" s="114"/>
      <c r="G13" s="115"/>
      <c r="H13" s="115"/>
      <c r="I13" s="116"/>
    </row>
    <row r="14" spans="1:12" x14ac:dyDescent="0.25">
      <c r="A14" s="117" t="s">
        <v>10</v>
      </c>
      <c r="B14" s="118"/>
      <c r="C14" s="118"/>
      <c r="D14" s="118"/>
      <c r="E14" s="119"/>
      <c r="F14" s="117" t="s">
        <v>11</v>
      </c>
      <c r="G14" s="118"/>
      <c r="H14" s="118"/>
      <c r="I14" s="119"/>
    </row>
    <row r="15" spans="1:12" x14ac:dyDescent="0.25">
      <c r="A15" s="120" t="s">
        <v>12</v>
      </c>
      <c r="B15" s="121"/>
      <c r="C15" s="121"/>
      <c r="D15" s="121"/>
      <c r="E15" s="122"/>
      <c r="F15" s="120" t="s">
        <v>13</v>
      </c>
      <c r="G15" s="121"/>
      <c r="H15" s="121"/>
      <c r="I15" s="122"/>
    </row>
    <row r="16" spans="1:12" ht="15.75" x14ac:dyDescent="0.25">
      <c r="A16" s="123">
        <v>704048685</v>
      </c>
      <c r="B16" s="124"/>
      <c r="C16" s="124"/>
      <c r="D16" s="124"/>
      <c r="E16" s="125"/>
      <c r="F16" s="126">
        <v>44896</v>
      </c>
      <c r="G16" s="127"/>
      <c r="H16" s="127"/>
      <c r="I16" s="128"/>
    </row>
    <row r="17" spans="1:9" x14ac:dyDescent="0.25">
      <c r="A17" s="129" t="s">
        <v>14</v>
      </c>
      <c r="B17" s="130"/>
      <c r="C17" s="130"/>
      <c r="D17" s="130"/>
      <c r="E17" s="130"/>
      <c r="F17" s="130"/>
      <c r="G17" s="130"/>
      <c r="H17" s="130"/>
      <c r="I17" s="131"/>
    </row>
    <row r="18" spans="1:9" x14ac:dyDescent="0.25">
      <c r="A18" s="29"/>
      <c r="B18" s="30"/>
      <c r="C18" s="132" t="s">
        <v>614</v>
      </c>
      <c r="D18" s="133"/>
      <c r="E18" s="133"/>
      <c r="F18" s="133"/>
      <c r="G18" s="133"/>
      <c r="H18" s="133"/>
      <c r="I18" s="134"/>
    </row>
    <row r="19" spans="1:9" x14ac:dyDescent="0.25">
      <c r="A19" s="31"/>
      <c r="B19" s="32"/>
      <c r="C19" s="133"/>
      <c r="D19" s="133"/>
      <c r="E19" s="133"/>
      <c r="F19" s="133"/>
      <c r="G19" s="133"/>
      <c r="H19" s="133"/>
      <c r="I19" s="134"/>
    </row>
    <row r="20" spans="1:9" x14ac:dyDescent="0.25">
      <c r="A20" s="33"/>
      <c r="B20" s="34"/>
      <c r="C20" s="35"/>
      <c r="D20" s="36"/>
      <c r="E20" s="36"/>
      <c r="F20" s="36"/>
      <c r="G20" s="135"/>
      <c r="H20" s="135"/>
      <c r="I20" s="136"/>
    </row>
    <row r="21" spans="1:9" x14ac:dyDescent="0.25">
      <c r="A21" s="33"/>
      <c r="B21" s="34"/>
      <c r="C21" s="37"/>
      <c r="D21" s="38"/>
      <c r="E21" s="38"/>
      <c r="F21" s="36"/>
      <c r="G21" s="135"/>
      <c r="H21" s="135"/>
      <c r="I21" s="136"/>
    </row>
    <row r="22" spans="1:9" x14ac:dyDescent="0.25">
      <c r="A22" s="31"/>
      <c r="B22" s="32"/>
      <c r="C22" s="39"/>
      <c r="D22" s="40"/>
      <c r="E22" s="40"/>
      <c r="F22" s="40"/>
      <c r="G22" s="41"/>
      <c r="H22" s="41"/>
      <c r="I22" s="44"/>
    </row>
    <row r="23" spans="1:9" ht="45" x14ac:dyDescent="0.25">
      <c r="A23" s="31"/>
      <c r="B23" s="32"/>
      <c r="C23" s="42" t="s">
        <v>562</v>
      </c>
      <c r="D23" s="92">
        <v>60</v>
      </c>
      <c r="E23" s="43" t="s">
        <v>16</v>
      </c>
      <c r="F23" s="93">
        <v>37</v>
      </c>
      <c r="G23" s="45" t="s">
        <v>17</v>
      </c>
      <c r="H23" s="45"/>
      <c r="I23" s="81">
        <f>D23-F23</f>
        <v>23</v>
      </c>
    </row>
    <row r="24" spans="1:9" x14ac:dyDescent="0.25">
      <c r="A24" s="14"/>
      <c r="B24" s="15"/>
      <c r="C24" s="15"/>
      <c r="D24" s="15"/>
      <c r="E24" s="15"/>
      <c r="F24" s="15"/>
      <c r="G24" s="15"/>
      <c r="H24" s="15"/>
      <c r="I24" s="16"/>
    </row>
    <row r="25" spans="1:9" x14ac:dyDescent="0.25">
      <c r="A25" s="21"/>
      <c r="B25" s="137" t="s">
        <v>18</v>
      </c>
      <c r="C25" s="137"/>
      <c r="D25" s="46" t="s">
        <v>19</v>
      </c>
      <c r="E25" s="46"/>
      <c r="F25" s="46" t="s">
        <v>20</v>
      </c>
      <c r="G25" s="137" t="s">
        <v>21</v>
      </c>
      <c r="H25" s="137"/>
      <c r="I25" s="138"/>
    </row>
    <row r="26" spans="1:9" x14ac:dyDescent="0.25">
      <c r="A26" s="21"/>
      <c r="B26" s="137" t="s">
        <v>22</v>
      </c>
      <c r="C26" s="137"/>
      <c r="D26" s="46" t="s">
        <v>23</v>
      </c>
      <c r="E26" s="46"/>
      <c r="F26" s="46" t="s">
        <v>24</v>
      </c>
      <c r="G26" s="137" t="s">
        <v>25</v>
      </c>
      <c r="H26" s="137"/>
      <c r="I26" s="138"/>
    </row>
    <row r="27" spans="1:9" x14ac:dyDescent="0.25">
      <c r="A27" s="21"/>
      <c r="B27" s="137" t="s">
        <v>26</v>
      </c>
      <c r="C27" s="137"/>
      <c r="D27" s="46" t="s">
        <v>27</v>
      </c>
      <c r="E27" s="46"/>
      <c r="F27" s="46" t="s">
        <v>28</v>
      </c>
      <c r="G27" s="137" t="s">
        <v>29</v>
      </c>
      <c r="H27" s="137"/>
      <c r="I27" s="138"/>
    </row>
    <row r="28" spans="1:9" x14ac:dyDescent="0.25">
      <c r="A28" s="21"/>
      <c r="B28" s="46" t="s">
        <v>30</v>
      </c>
      <c r="C28" s="46"/>
      <c r="D28" s="46" t="s">
        <v>31</v>
      </c>
      <c r="E28" s="46"/>
      <c r="F28" s="46" t="s">
        <v>32</v>
      </c>
      <c r="G28" s="143" t="s">
        <v>33</v>
      </c>
      <c r="H28" s="143"/>
      <c r="I28" s="144"/>
    </row>
    <row r="29" spans="1:9" x14ac:dyDescent="0.25">
      <c r="A29" s="21"/>
      <c r="B29" s="137" t="s">
        <v>34</v>
      </c>
      <c r="C29" s="137"/>
      <c r="D29" s="46" t="s">
        <v>35</v>
      </c>
      <c r="E29" s="46"/>
      <c r="F29" s="46" t="s">
        <v>36</v>
      </c>
      <c r="G29" s="47" t="s">
        <v>37</v>
      </c>
      <c r="H29" s="69"/>
      <c r="I29" s="48"/>
    </row>
    <row r="30" spans="1:9" x14ac:dyDescent="0.25">
      <c r="A30" s="21"/>
      <c r="B30" s="137" t="s">
        <v>38</v>
      </c>
      <c r="C30" s="137"/>
      <c r="D30" s="46" t="s">
        <v>39</v>
      </c>
      <c r="E30" s="46"/>
      <c r="F30" s="46" t="s">
        <v>40</v>
      </c>
      <c r="G30" s="137"/>
      <c r="H30" s="137"/>
      <c r="I30" s="138"/>
    </row>
    <row r="31" spans="1:9" x14ac:dyDescent="0.25">
      <c r="A31" s="26"/>
      <c r="B31" s="27"/>
      <c r="C31" s="27"/>
      <c r="D31" s="27"/>
      <c r="E31" s="27"/>
      <c r="F31" s="27"/>
      <c r="G31" s="145"/>
      <c r="H31" s="145"/>
      <c r="I31" s="146"/>
    </row>
    <row r="32" spans="1:9" x14ac:dyDescent="0.25">
      <c r="A32" s="49"/>
      <c r="B32" s="107" t="s">
        <v>41</v>
      </c>
      <c r="C32" s="107"/>
      <c r="D32" s="107"/>
      <c r="E32" s="108"/>
      <c r="F32" s="106" t="s">
        <v>42</v>
      </c>
      <c r="G32" s="107"/>
      <c r="H32" s="107"/>
      <c r="I32" s="108"/>
    </row>
    <row r="33" spans="1:9" x14ac:dyDescent="0.25">
      <c r="A33" s="21"/>
      <c r="B33" s="50" t="s">
        <v>43</v>
      </c>
      <c r="C33" s="141" t="s">
        <v>134</v>
      </c>
      <c r="D33" s="141"/>
      <c r="E33" s="142"/>
      <c r="F33" s="51" t="s">
        <v>44</v>
      </c>
      <c r="G33" s="98"/>
      <c r="H33" s="98"/>
      <c r="I33" s="99"/>
    </row>
    <row r="34" spans="1:9" x14ac:dyDescent="0.25">
      <c r="A34" s="21"/>
      <c r="B34" s="50" t="s">
        <v>45</v>
      </c>
      <c r="C34" s="141" t="s">
        <v>149</v>
      </c>
      <c r="D34" s="141"/>
      <c r="E34" s="142"/>
      <c r="F34" s="51" t="s">
        <v>45</v>
      </c>
      <c r="G34" s="98"/>
      <c r="H34" s="98"/>
      <c r="I34" s="99"/>
    </row>
    <row r="35" spans="1:9" x14ac:dyDescent="0.25">
      <c r="A35" s="21"/>
      <c r="B35" s="52" t="s">
        <v>46</v>
      </c>
      <c r="C35" s="148" t="s">
        <v>305</v>
      </c>
      <c r="D35" s="149"/>
      <c r="E35" s="150"/>
      <c r="F35" s="51" t="s">
        <v>46</v>
      </c>
      <c r="G35" s="98"/>
      <c r="H35" s="98"/>
      <c r="I35" s="99"/>
    </row>
    <row r="36" spans="1:9" x14ac:dyDescent="0.25">
      <c r="A36" s="21"/>
      <c r="B36" s="50" t="s">
        <v>62</v>
      </c>
      <c r="C36" s="98" t="s">
        <v>85</v>
      </c>
      <c r="D36" s="98"/>
      <c r="E36" s="99"/>
      <c r="F36" s="51" t="s">
        <v>47</v>
      </c>
      <c r="G36" s="98"/>
      <c r="H36" s="98"/>
      <c r="I36" s="99"/>
    </row>
    <row r="37" spans="1:9" x14ac:dyDescent="0.25">
      <c r="A37" s="21"/>
      <c r="B37" s="52" t="s">
        <v>48</v>
      </c>
      <c r="C37" s="139">
        <v>1412</v>
      </c>
      <c r="D37" s="139"/>
      <c r="E37" s="140"/>
      <c r="F37" s="159" t="s">
        <v>50</v>
      </c>
      <c r="G37" s="157" t="s">
        <v>151</v>
      </c>
      <c r="H37" s="157"/>
      <c r="I37" s="158"/>
    </row>
    <row r="38" spans="1:9" x14ac:dyDescent="0.25">
      <c r="A38" s="21"/>
      <c r="B38" s="50" t="s">
        <v>49</v>
      </c>
      <c r="C38" s="98" t="s">
        <v>134</v>
      </c>
      <c r="D38" s="98"/>
      <c r="E38" s="99"/>
      <c r="F38" s="159"/>
      <c r="G38" s="157"/>
      <c r="H38" s="157"/>
      <c r="I38" s="158"/>
    </row>
    <row r="39" spans="1:9" x14ac:dyDescent="0.25">
      <c r="A39" s="21"/>
      <c r="B39" s="151"/>
      <c r="C39" s="151"/>
      <c r="D39" s="151"/>
      <c r="E39" s="152"/>
      <c r="F39" s="153"/>
      <c r="G39" s="151"/>
      <c r="H39" s="151"/>
      <c r="I39" s="152"/>
    </row>
    <row r="40" spans="1:9" x14ac:dyDescent="0.25">
      <c r="A40" s="26"/>
      <c r="B40" s="27"/>
      <c r="C40" s="27"/>
      <c r="D40" s="27"/>
      <c r="E40" s="28"/>
      <c r="F40" s="160"/>
      <c r="G40" s="161"/>
      <c r="H40" s="161"/>
      <c r="I40" s="162"/>
    </row>
    <row r="41" spans="1:9" x14ac:dyDescent="0.25">
      <c r="A41" s="49"/>
      <c r="B41" s="154" t="s">
        <v>51</v>
      </c>
      <c r="C41" s="154"/>
      <c r="D41" s="154"/>
      <c r="E41" s="155"/>
      <c r="F41" s="156" t="s">
        <v>52</v>
      </c>
      <c r="G41" s="154"/>
      <c r="H41" s="154"/>
      <c r="I41" s="155"/>
    </row>
    <row r="42" spans="1:9" x14ac:dyDescent="0.25">
      <c r="A42" s="21"/>
      <c r="B42" s="46"/>
      <c r="D42" s="46"/>
      <c r="E42" s="53"/>
      <c r="F42" s="54"/>
      <c r="G42" s="46"/>
      <c r="H42" s="46"/>
      <c r="I42" s="53"/>
    </row>
    <row r="43" spans="1:9" x14ac:dyDescent="0.25">
      <c r="A43" s="21"/>
      <c r="B43" s="147"/>
      <c r="C43" s="147"/>
      <c r="D43" s="176"/>
      <c r="E43" s="177"/>
      <c r="F43" s="175"/>
      <c r="G43" s="176"/>
      <c r="H43" s="176"/>
      <c r="I43" s="177"/>
    </row>
    <row r="44" spans="1:9" ht="39.75" customHeight="1" x14ac:dyDescent="0.25">
      <c r="A44" s="21"/>
      <c r="B44" s="97" t="s">
        <v>302</v>
      </c>
      <c r="C44" s="97"/>
      <c r="D44" s="98" t="s">
        <v>303</v>
      </c>
      <c r="E44" s="99"/>
      <c r="F44" s="180" t="s">
        <v>53</v>
      </c>
      <c r="G44" s="181"/>
      <c r="H44" s="181"/>
      <c r="I44" s="182"/>
    </row>
    <row r="45" spans="1:9" ht="17.25" customHeight="1" x14ac:dyDescent="0.25">
      <c r="A45" s="26"/>
      <c r="B45" s="55"/>
      <c r="C45" s="55"/>
      <c r="D45" s="55"/>
      <c r="E45" s="56"/>
      <c r="F45" s="183" t="s">
        <v>54</v>
      </c>
      <c r="G45" s="184"/>
      <c r="H45" s="184"/>
      <c r="I45" s="185"/>
    </row>
    <row r="46" spans="1:9" x14ac:dyDescent="0.25">
      <c r="A46" s="186" t="s">
        <v>55</v>
      </c>
      <c r="B46" s="187"/>
      <c r="C46" s="187"/>
      <c r="D46" s="187"/>
      <c r="E46" s="187"/>
      <c r="F46" s="187"/>
      <c r="G46" s="187"/>
      <c r="H46" s="187"/>
      <c r="I46" s="188"/>
    </row>
    <row r="47" spans="1:9" ht="54" customHeight="1" x14ac:dyDescent="0.25">
      <c r="A47" s="21"/>
      <c r="B47" s="189"/>
      <c r="C47" s="189"/>
      <c r="D47" s="189"/>
      <c r="E47" s="189"/>
      <c r="F47" s="189"/>
      <c r="G47" s="189"/>
      <c r="H47" s="189"/>
      <c r="I47" s="190"/>
    </row>
    <row r="48" spans="1:9" ht="30" customHeight="1" x14ac:dyDescent="0.25">
      <c r="A48" s="21"/>
      <c r="B48" s="191" t="s">
        <v>56</v>
      </c>
      <c r="C48" s="191"/>
      <c r="D48" s="191"/>
      <c r="E48" s="191"/>
      <c r="F48" s="191"/>
      <c r="G48" s="191"/>
      <c r="H48" s="191"/>
      <c r="I48" s="192"/>
    </row>
    <row r="49" spans="1:10" ht="30.75" customHeight="1" x14ac:dyDescent="0.25">
      <c r="A49" s="21"/>
      <c r="B49" s="193" t="s">
        <v>57</v>
      </c>
      <c r="C49" s="193"/>
      <c r="D49" s="193"/>
      <c r="E49" s="193"/>
      <c r="F49" s="193"/>
      <c r="G49" s="193"/>
      <c r="H49" s="193"/>
      <c r="I49" s="194"/>
    </row>
    <row r="50" spans="1:10" x14ac:dyDescent="0.25">
      <c r="A50" s="156" t="s">
        <v>58</v>
      </c>
      <c r="B50" s="154"/>
      <c r="C50" s="154"/>
      <c r="D50" s="154"/>
      <c r="E50" s="154"/>
      <c r="F50" s="154"/>
      <c r="G50" s="154"/>
      <c r="H50" s="154"/>
      <c r="I50" s="155"/>
    </row>
    <row r="51" spans="1:10" x14ac:dyDescent="0.25">
      <c r="A51" s="21"/>
      <c r="B51" s="22"/>
      <c r="C51" s="22"/>
      <c r="D51" s="22"/>
      <c r="E51" s="22"/>
      <c r="F51" s="22"/>
      <c r="G51" s="22"/>
      <c r="H51" s="22"/>
      <c r="I51" s="23"/>
    </row>
    <row r="52" spans="1:10" ht="45.75" customHeight="1" x14ac:dyDescent="0.25">
      <c r="A52" s="21"/>
      <c r="B52" s="22"/>
      <c r="C52" s="22"/>
      <c r="D52" s="22"/>
      <c r="E52" s="22"/>
      <c r="F52" s="22"/>
      <c r="G52" s="22"/>
      <c r="H52" s="22"/>
      <c r="I52" s="23"/>
    </row>
    <row r="53" spans="1:10" x14ac:dyDescent="0.25">
      <c r="A53" s="21"/>
      <c r="B53" s="85" t="s">
        <v>93</v>
      </c>
      <c r="C53" s="84">
        <f>I4</f>
        <v>104</v>
      </c>
      <c r="D53" s="85" t="s">
        <v>94</v>
      </c>
      <c r="E53" s="87">
        <f>I5</f>
        <v>44890</v>
      </c>
      <c r="F53" s="195" t="s">
        <v>59</v>
      </c>
      <c r="G53" s="195"/>
      <c r="H53" s="195"/>
      <c r="I53" s="196"/>
    </row>
    <row r="54" spans="1:10" x14ac:dyDescent="0.25">
      <c r="A54" s="21"/>
      <c r="B54" s="22"/>
      <c r="C54" s="22"/>
      <c r="D54" s="22"/>
      <c r="E54" s="22"/>
      <c r="F54" s="189" t="s">
        <v>60</v>
      </c>
      <c r="G54" s="189"/>
      <c r="H54" s="189"/>
      <c r="I54" s="190"/>
    </row>
    <row r="55" spans="1:10" ht="10.5" customHeight="1" x14ac:dyDescent="0.25">
      <c r="A55" s="26"/>
      <c r="B55" s="178" t="s">
        <v>61</v>
      </c>
      <c r="C55" s="178"/>
      <c r="D55" s="178"/>
      <c r="E55" s="178"/>
      <c r="F55" s="178"/>
      <c r="G55" s="178"/>
      <c r="H55" s="178"/>
      <c r="I55" s="179"/>
    </row>
    <row r="56" spans="1:10" x14ac:dyDescent="0.25">
      <c r="A56" s="21"/>
      <c r="B56" s="57"/>
      <c r="C56" s="57"/>
      <c r="D56" s="22"/>
      <c r="E56" s="22"/>
      <c r="F56" s="22"/>
      <c r="G56" s="22"/>
      <c r="H56" s="22"/>
      <c r="I56" s="22"/>
      <c r="J56" s="68"/>
    </row>
    <row r="73" spans="2:9" x14ac:dyDescent="0.25">
      <c r="B73" s="173" t="s">
        <v>95</v>
      </c>
      <c r="C73" s="174"/>
      <c r="D73" s="174"/>
      <c r="E73" s="174"/>
      <c r="F73" s="174" t="s">
        <v>0</v>
      </c>
      <c r="G73" s="174"/>
      <c r="H73" s="88" t="s">
        <v>4</v>
      </c>
      <c r="I73" s="89"/>
    </row>
    <row r="74" spans="2:9" x14ac:dyDescent="0.25">
      <c r="B74" s="21"/>
      <c r="C74" s="22"/>
      <c r="D74" s="22"/>
      <c r="E74" s="22"/>
      <c r="F74" s="22"/>
      <c r="G74" s="5"/>
      <c r="H74" s="22"/>
      <c r="I74" s="23"/>
    </row>
    <row r="75" spans="2:9" x14ac:dyDescent="0.25">
      <c r="B75" s="21"/>
      <c r="C75" s="164"/>
      <c r="D75" s="164"/>
      <c r="E75" s="164"/>
      <c r="F75" s="164"/>
      <c r="G75" s="164"/>
      <c r="H75" s="164"/>
      <c r="I75" s="165"/>
    </row>
    <row r="76" spans="2:9" x14ac:dyDescent="0.25">
      <c r="B76" s="21"/>
      <c r="C76" s="22"/>
      <c r="D76" s="22"/>
      <c r="E76" s="22"/>
      <c r="F76" s="22"/>
      <c r="G76" s="22"/>
      <c r="H76" s="22"/>
      <c r="I76" s="23"/>
    </row>
    <row r="77" spans="2:9" x14ac:dyDescent="0.25">
      <c r="B77" s="14" t="s">
        <v>379</v>
      </c>
      <c r="C77" s="168" t="s">
        <v>492</v>
      </c>
      <c r="D77" s="169"/>
      <c r="E77" s="169"/>
      <c r="F77" s="169"/>
      <c r="G77" s="169"/>
      <c r="H77" s="169"/>
      <c r="I77" s="170"/>
    </row>
    <row r="78" spans="2:9" x14ac:dyDescent="0.25">
      <c r="B78" s="21"/>
      <c r="C78" s="171"/>
      <c r="D78" s="171"/>
      <c r="E78" s="171"/>
      <c r="F78" s="171"/>
      <c r="G78" s="171"/>
      <c r="H78" s="171"/>
      <c r="I78" s="172"/>
    </row>
    <row r="79" spans="2:9" x14ac:dyDescent="0.25">
      <c r="B79" s="21"/>
      <c r="C79" s="171"/>
      <c r="D79" s="171"/>
      <c r="E79" s="171"/>
      <c r="F79" s="171"/>
      <c r="G79" s="171"/>
      <c r="H79" s="171"/>
      <c r="I79" s="172"/>
    </row>
    <row r="80" spans="2:9" x14ac:dyDescent="0.25">
      <c r="B80" s="21"/>
      <c r="C80" s="171"/>
      <c r="D80" s="171"/>
      <c r="E80" s="171"/>
      <c r="F80" s="171"/>
      <c r="G80" s="171"/>
      <c r="H80" s="171"/>
      <c r="I80" s="172"/>
    </row>
    <row r="81" spans="2:9" x14ac:dyDescent="0.25">
      <c r="B81" s="21"/>
      <c r="C81" s="171"/>
      <c r="D81" s="171"/>
      <c r="E81" s="171"/>
      <c r="F81" s="171"/>
      <c r="G81" s="171"/>
      <c r="H81" s="171"/>
      <c r="I81" s="172"/>
    </row>
    <row r="82" spans="2:9" x14ac:dyDescent="0.25">
      <c r="B82" s="21"/>
      <c r="C82" s="171"/>
      <c r="D82" s="171"/>
      <c r="E82" s="171"/>
      <c r="F82" s="171"/>
      <c r="G82" s="171"/>
      <c r="H82" s="171"/>
      <c r="I82" s="172"/>
    </row>
    <row r="83" spans="2:9" x14ac:dyDescent="0.25">
      <c r="B83" s="26"/>
      <c r="C83" s="27"/>
      <c r="D83" s="27"/>
      <c r="E83" s="27"/>
      <c r="F83" s="27"/>
      <c r="G83" s="27"/>
      <c r="H83" s="27"/>
      <c r="I83" s="28"/>
    </row>
    <row r="84" spans="2:9" x14ac:dyDescent="0.25">
      <c r="B84" s="14"/>
      <c r="C84" s="15"/>
      <c r="D84" s="15"/>
      <c r="E84" s="15"/>
      <c r="F84" s="15"/>
      <c r="G84" s="15"/>
      <c r="H84" s="15"/>
      <c r="I84" s="16"/>
    </row>
    <row r="85" spans="2:9" x14ac:dyDescent="0.25">
      <c r="B85" s="21"/>
      <c r="C85" s="166" t="s">
        <v>96</v>
      </c>
      <c r="D85" s="166"/>
      <c r="E85" s="166"/>
      <c r="F85" s="166"/>
      <c r="G85" s="166"/>
      <c r="H85" s="166"/>
      <c r="I85" s="167"/>
    </row>
    <row r="86" spans="2:9" x14ac:dyDescent="0.25">
      <c r="B86" s="21"/>
      <c r="C86" s="166" t="s">
        <v>97</v>
      </c>
      <c r="D86" s="166"/>
      <c r="E86" s="166"/>
      <c r="F86" s="166"/>
      <c r="G86" s="166"/>
      <c r="H86" s="166"/>
      <c r="I86" s="167"/>
    </row>
    <row r="87" spans="2:9" x14ac:dyDescent="0.25">
      <c r="B87" s="21"/>
      <c r="C87" s="166" t="s">
        <v>98</v>
      </c>
      <c r="D87" s="166"/>
      <c r="E87" s="166"/>
      <c r="F87" s="166"/>
      <c r="G87" s="166"/>
      <c r="H87" s="166"/>
      <c r="I87" s="167"/>
    </row>
    <row r="88" spans="2:9" x14ac:dyDescent="0.25">
      <c r="B88" s="21"/>
      <c r="C88" s="166" t="s">
        <v>99</v>
      </c>
      <c r="D88" s="166"/>
      <c r="E88" s="166"/>
      <c r="F88" s="166"/>
      <c r="G88" s="166"/>
      <c r="H88" s="166" t="s">
        <v>100</v>
      </c>
      <c r="I88" s="167"/>
    </row>
    <row r="89" spans="2:9" x14ac:dyDescent="0.25">
      <c r="B89" s="21"/>
      <c r="C89" s="22"/>
      <c r="D89" s="22"/>
      <c r="E89" s="22"/>
      <c r="F89" s="22"/>
      <c r="G89" s="22"/>
      <c r="H89" s="22"/>
      <c r="I89" s="23"/>
    </row>
    <row r="90" spans="2:9" x14ac:dyDescent="0.25">
      <c r="B90" s="21"/>
      <c r="C90" s="22"/>
      <c r="D90" s="22"/>
      <c r="E90" s="22"/>
      <c r="F90" s="22"/>
      <c r="G90" s="22"/>
      <c r="H90" s="22"/>
      <c r="I90" s="23"/>
    </row>
    <row r="91" spans="2:9" x14ac:dyDescent="0.25">
      <c r="B91" s="21"/>
      <c r="C91" s="163" t="s">
        <v>101</v>
      </c>
      <c r="D91" s="163"/>
      <c r="E91" s="163"/>
      <c r="F91" s="163"/>
      <c r="G91" s="164"/>
      <c r="H91" s="164"/>
      <c r="I91" s="165"/>
    </row>
    <row r="92" spans="2:9" x14ac:dyDescent="0.25">
      <c r="B92" s="21"/>
      <c r="C92" s="22"/>
      <c r="D92" s="22"/>
      <c r="E92" s="22"/>
      <c r="F92" s="22"/>
      <c r="G92" s="22"/>
      <c r="H92" s="22"/>
      <c r="I92" s="23"/>
    </row>
    <row r="93" spans="2:9" x14ac:dyDescent="0.25">
      <c r="B93" s="21"/>
      <c r="C93" s="22"/>
      <c r="D93" s="22"/>
      <c r="E93" s="22"/>
      <c r="F93" s="22"/>
      <c r="G93" s="22"/>
      <c r="H93" s="22"/>
      <c r="I93" s="23"/>
    </row>
    <row r="94" spans="2:9" x14ac:dyDescent="0.25">
      <c r="B94" s="21"/>
      <c r="C94" s="22"/>
      <c r="D94" s="22"/>
      <c r="E94" s="22"/>
      <c r="F94" s="22"/>
      <c r="G94" s="22"/>
      <c r="H94" s="22"/>
      <c r="I94" s="23"/>
    </row>
    <row r="95" spans="2:9" x14ac:dyDescent="0.25">
      <c r="B95" s="21"/>
      <c r="C95" s="22"/>
      <c r="D95" s="22"/>
      <c r="E95" s="22"/>
      <c r="F95" s="22"/>
      <c r="G95" s="22"/>
      <c r="H95" s="22"/>
      <c r="I95" s="23"/>
    </row>
    <row r="96" spans="2:9" x14ac:dyDescent="0.25">
      <c r="B96" s="21"/>
      <c r="C96" s="22" t="s">
        <v>102</v>
      </c>
      <c r="D96" s="22" t="s">
        <v>103</v>
      </c>
      <c r="E96" s="22"/>
      <c r="F96" s="22"/>
      <c r="G96" s="85" t="s">
        <v>4</v>
      </c>
      <c r="H96" s="79" t="s">
        <v>104</v>
      </c>
      <c r="I96" s="80"/>
    </row>
    <row r="97" spans="2:9" x14ac:dyDescent="0.25">
      <c r="B97" s="26"/>
      <c r="C97" s="27"/>
      <c r="D97" s="27"/>
      <c r="E97" s="27"/>
      <c r="F97" s="27"/>
      <c r="G97" s="27"/>
      <c r="H97" s="27"/>
      <c r="I97" s="28"/>
    </row>
    <row r="98" spans="2:9" x14ac:dyDescent="0.25">
      <c r="B98" s="14"/>
      <c r="C98" s="15"/>
      <c r="D98" s="15"/>
      <c r="E98" s="15"/>
      <c r="F98" s="15"/>
      <c r="G98" s="15"/>
      <c r="H98" s="15"/>
      <c r="I98" s="16"/>
    </row>
    <row r="99" spans="2:9" x14ac:dyDescent="0.25">
      <c r="B99" s="21"/>
      <c r="C99" s="22"/>
      <c r="D99" s="22"/>
      <c r="E99" s="22"/>
      <c r="F99" s="22"/>
      <c r="G99" s="22"/>
      <c r="H99" s="22"/>
      <c r="I99" s="23"/>
    </row>
    <row r="100" spans="2:9" x14ac:dyDescent="0.25">
      <c r="B100" s="21"/>
      <c r="C100" s="22" t="s">
        <v>105</v>
      </c>
      <c r="D100" s="22"/>
      <c r="E100" s="22"/>
      <c r="F100" s="22"/>
      <c r="G100" s="22"/>
      <c r="H100" s="22"/>
      <c r="I100" s="23"/>
    </row>
    <row r="101" spans="2:9" x14ac:dyDescent="0.25">
      <c r="B101" s="21"/>
      <c r="C101" s="22"/>
      <c r="D101" s="22"/>
      <c r="E101" s="22"/>
      <c r="F101" s="22"/>
      <c r="G101" s="22"/>
      <c r="H101" s="22"/>
      <c r="I101" s="23"/>
    </row>
    <row r="102" spans="2:9" x14ac:dyDescent="0.25">
      <c r="B102" s="21"/>
      <c r="C102" s="79" t="s">
        <v>106</v>
      </c>
      <c r="D102" s="79"/>
      <c r="E102" s="79"/>
      <c r="F102" s="79"/>
      <c r="G102" s="22" t="s">
        <v>107</v>
      </c>
      <c r="H102" s="22"/>
      <c r="I102" s="23" t="s">
        <v>108</v>
      </c>
    </row>
    <row r="103" spans="2:9" x14ac:dyDescent="0.25">
      <c r="B103" s="21"/>
      <c r="C103" s="22" t="s">
        <v>109</v>
      </c>
      <c r="D103" s="22"/>
      <c r="E103" s="22"/>
      <c r="F103" s="22"/>
      <c r="G103" s="22"/>
      <c r="H103" s="22"/>
      <c r="I103" s="23"/>
    </row>
    <row r="104" spans="2:9" x14ac:dyDescent="0.25">
      <c r="B104" s="21"/>
      <c r="C104" s="22"/>
      <c r="D104" s="22"/>
      <c r="E104" s="22"/>
      <c r="F104" s="22"/>
      <c r="G104" s="22"/>
      <c r="H104" s="22"/>
      <c r="I104" s="23"/>
    </row>
    <row r="105" spans="2:9" x14ac:dyDescent="0.25">
      <c r="B105" s="21"/>
      <c r="C105" s="22" t="s">
        <v>110</v>
      </c>
      <c r="D105" s="79" t="s">
        <v>111</v>
      </c>
      <c r="E105" s="79"/>
      <c r="F105" s="79"/>
      <c r="G105" s="22"/>
      <c r="H105" s="22"/>
      <c r="I105" s="23"/>
    </row>
    <row r="106" spans="2:9" x14ac:dyDescent="0.25">
      <c r="B106" s="21"/>
      <c r="C106" s="22"/>
      <c r="D106" s="22"/>
      <c r="E106" s="22"/>
      <c r="F106" s="22"/>
      <c r="G106" s="22"/>
      <c r="H106" s="22"/>
      <c r="I106" s="23"/>
    </row>
    <row r="107" spans="2:9" x14ac:dyDescent="0.25">
      <c r="B107" s="21"/>
      <c r="C107" s="22" t="s">
        <v>9</v>
      </c>
      <c r="D107" s="79" t="s">
        <v>111</v>
      </c>
      <c r="E107" s="79"/>
      <c r="F107" s="79"/>
      <c r="G107" s="22"/>
      <c r="H107" s="22"/>
      <c r="I107" s="23"/>
    </row>
    <row r="108" spans="2:9" x14ac:dyDescent="0.25">
      <c r="B108" s="21"/>
      <c r="C108" s="22"/>
      <c r="D108" s="22"/>
      <c r="E108" s="22"/>
      <c r="F108" s="22"/>
      <c r="G108" s="22"/>
      <c r="H108" s="22"/>
      <c r="I108" s="23"/>
    </row>
    <row r="109" spans="2:9" x14ac:dyDescent="0.25">
      <c r="B109" s="21"/>
      <c r="C109" s="22"/>
      <c r="D109" s="22"/>
      <c r="E109" s="22"/>
      <c r="F109" s="22"/>
      <c r="G109" s="22"/>
      <c r="H109" s="22"/>
      <c r="I109" s="23"/>
    </row>
    <row r="110" spans="2:9" x14ac:dyDescent="0.25">
      <c r="B110" s="21"/>
      <c r="C110" s="22"/>
      <c r="D110" s="22"/>
      <c r="E110" s="22"/>
      <c r="F110" s="22"/>
      <c r="G110" s="22"/>
      <c r="H110" s="22"/>
      <c r="I110" s="23"/>
    </row>
    <row r="111" spans="2:9" x14ac:dyDescent="0.25">
      <c r="B111" s="21"/>
      <c r="C111" s="22"/>
      <c r="D111" s="22"/>
      <c r="E111" s="22"/>
      <c r="F111" s="22"/>
      <c r="G111" s="22"/>
      <c r="H111" s="22"/>
      <c r="I111" s="23"/>
    </row>
    <row r="112" spans="2:9" x14ac:dyDescent="0.25">
      <c r="B112" s="21"/>
      <c r="C112" s="22"/>
      <c r="D112" s="22"/>
      <c r="E112" s="22"/>
      <c r="F112" s="22"/>
      <c r="G112" s="22"/>
      <c r="H112" s="22"/>
      <c r="I112" s="23"/>
    </row>
    <row r="113" spans="2:9" x14ac:dyDescent="0.25">
      <c r="B113" s="21"/>
      <c r="C113" s="79" t="s">
        <v>112</v>
      </c>
      <c r="D113" s="79"/>
      <c r="E113" s="79"/>
      <c r="F113" s="79"/>
      <c r="G113" s="79" t="s">
        <v>113</v>
      </c>
      <c r="H113" s="79"/>
      <c r="I113" s="80"/>
    </row>
    <row r="114" spans="2:9" x14ac:dyDescent="0.25">
      <c r="B114" s="21"/>
      <c r="C114" s="79" t="s">
        <v>114</v>
      </c>
      <c r="D114" s="79"/>
      <c r="E114" s="79"/>
      <c r="F114" s="79"/>
      <c r="G114" s="79" t="s">
        <v>115</v>
      </c>
      <c r="H114" s="79"/>
      <c r="I114" s="80"/>
    </row>
    <row r="115" spans="2:9" x14ac:dyDescent="0.25">
      <c r="B115" s="21"/>
      <c r="C115" s="22"/>
      <c r="D115" s="22"/>
      <c r="E115" s="22"/>
      <c r="F115" s="22"/>
      <c r="G115" s="22"/>
      <c r="H115" s="22"/>
      <c r="I115" s="23"/>
    </row>
    <row r="116" spans="2:9" x14ac:dyDescent="0.25">
      <c r="B116" s="21"/>
      <c r="C116" s="22"/>
      <c r="D116" s="22"/>
      <c r="E116" s="22"/>
      <c r="F116" s="22"/>
      <c r="G116" s="22"/>
      <c r="H116" s="22"/>
      <c r="I116" s="23"/>
    </row>
    <row r="117" spans="2:9" x14ac:dyDescent="0.25">
      <c r="B117" s="21"/>
      <c r="C117" s="22"/>
      <c r="D117" s="22"/>
      <c r="E117" s="22"/>
      <c r="F117" s="22"/>
      <c r="G117" s="22"/>
      <c r="H117" s="22"/>
      <c r="I117" s="23"/>
    </row>
    <row r="118" spans="2:9" x14ac:dyDescent="0.25">
      <c r="B118" s="26"/>
      <c r="C118" s="27"/>
      <c r="D118" s="27"/>
      <c r="E118" s="27"/>
      <c r="F118" s="27"/>
      <c r="G118" s="27"/>
      <c r="H118" s="27"/>
      <c r="I118" s="28"/>
    </row>
    <row r="119" spans="2:9" x14ac:dyDescent="0.25">
      <c r="B119" s="90"/>
      <c r="C119" s="91" t="s">
        <v>116</v>
      </c>
      <c r="D119" s="91"/>
      <c r="E119" s="91"/>
      <c r="F119" s="91"/>
      <c r="G119" s="91"/>
      <c r="H119" s="91"/>
      <c r="I119" s="91"/>
    </row>
  </sheetData>
  <mergeCells count="71">
    <mergeCell ref="C77:I82"/>
    <mergeCell ref="B73:E73"/>
    <mergeCell ref="F73:G73"/>
    <mergeCell ref="C75:I75"/>
    <mergeCell ref="F43:I43"/>
    <mergeCell ref="B55:I55"/>
    <mergeCell ref="F44:I44"/>
    <mergeCell ref="F45:I45"/>
    <mergeCell ref="A46:I46"/>
    <mergeCell ref="B47:I47"/>
    <mergeCell ref="B48:I48"/>
    <mergeCell ref="B49:I49"/>
    <mergeCell ref="A50:I50"/>
    <mergeCell ref="F53:I53"/>
    <mergeCell ref="F54:I54"/>
    <mergeCell ref="D43:E43"/>
    <mergeCell ref="C91:F91"/>
    <mergeCell ref="G91:I91"/>
    <mergeCell ref="C85:I85"/>
    <mergeCell ref="C86:I86"/>
    <mergeCell ref="C87:I87"/>
    <mergeCell ref="C88:G88"/>
    <mergeCell ref="H88:I88"/>
    <mergeCell ref="F32:I32"/>
    <mergeCell ref="B43:C43"/>
    <mergeCell ref="C34:E34"/>
    <mergeCell ref="G34:I34"/>
    <mergeCell ref="C35:E35"/>
    <mergeCell ref="G35:I35"/>
    <mergeCell ref="G36:I36"/>
    <mergeCell ref="C36:E36"/>
    <mergeCell ref="B39:E39"/>
    <mergeCell ref="F39:I39"/>
    <mergeCell ref="B41:E41"/>
    <mergeCell ref="F41:I41"/>
    <mergeCell ref="G37:I38"/>
    <mergeCell ref="F37:F38"/>
    <mergeCell ref="F40:I40"/>
    <mergeCell ref="C38:E38"/>
    <mergeCell ref="G20:I21"/>
    <mergeCell ref="B25:C25"/>
    <mergeCell ref="G25:I25"/>
    <mergeCell ref="C37:E37"/>
    <mergeCell ref="C33:E33"/>
    <mergeCell ref="G33:I33"/>
    <mergeCell ref="B26:C26"/>
    <mergeCell ref="G26:I26"/>
    <mergeCell ref="B27:C27"/>
    <mergeCell ref="G27:I27"/>
    <mergeCell ref="G28:I28"/>
    <mergeCell ref="B29:C29"/>
    <mergeCell ref="B30:C30"/>
    <mergeCell ref="G30:I30"/>
    <mergeCell ref="G31:I31"/>
    <mergeCell ref="B32:E32"/>
    <mergeCell ref="B44:C44"/>
    <mergeCell ref="D44:E44"/>
    <mergeCell ref="E3:F6"/>
    <mergeCell ref="G3:I3"/>
    <mergeCell ref="D8:E8"/>
    <mergeCell ref="F10:G10"/>
    <mergeCell ref="A12:E13"/>
    <mergeCell ref="F12:I13"/>
    <mergeCell ref="A14:E14"/>
    <mergeCell ref="F14:I14"/>
    <mergeCell ref="A15:E15"/>
    <mergeCell ref="F15:I15"/>
    <mergeCell ref="A16:E16"/>
    <mergeCell ref="F16:I16"/>
    <mergeCell ref="A17:I17"/>
    <mergeCell ref="C18:I19"/>
  </mergeCells>
  <pageMargins left="0.15748031496062992" right="0.15748031496062992" top="0.15748031496062992" bottom="0.27559055118110237" header="0.15748031496062992" footer="0.19685039370078741"/>
  <pageSetup paperSize="9" scale="72" orientation="portrait" r:id="rId1"/>
  <ignoredErrors>
    <ignoredError sqref="I23" evalError="1"/>
  </ignoredErrors>
  <drawing r:id="rId2"/>
  <legacyDrawing r:id="rId3"/>
  <controls>
    <mc:AlternateContent xmlns:mc="http://schemas.openxmlformats.org/markup-compatibility/2006">
      <mc:Choice Requires="x14">
        <control shapeId="3102" r:id="rId4" name="cmdReset">
          <controlPr defaultSize="0" autoLine="0" autoPict="0" r:id="rId5">
            <anchor moveWithCells="1">
              <from>
                <xdr:col>10</xdr:col>
                <xdr:colOff>9525</xdr:colOff>
                <xdr:row>5</xdr:row>
                <xdr:rowOff>0</xdr:rowOff>
              </from>
              <to>
                <xdr:col>12</xdr:col>
                <xdr:colOff>114300</xdr:colOff>
                <xdr:row>7</xdr:row>
                <xdr:rowOff>9525</xdr:rowOff>
              </to>
            </anchor>
          </controlPr>
        </control>
      </mc:Choice>
      <mc:Fallback>
        <control shapeId="3102" r:id="rId4" name="cmdReset"/>
      </mc:Fallback>
    </mc:AlternateContent>
    <mc:AlternateContent xmlns:mc="http://schemas.openxmlformats.org/markup-compatibility/2006">
      <mc:Choice Requires="x14">
        <control shapeId="3103" r:id="rId6" name="cmdprint">
          <controlPr defaultSize="0" autoLine="0" r:id="rId7">
            <anchor moveWithCells="1">
              <from>
                <xdr:col>10</xdr:col>
                <xdr:colOff>9525</xdr:colOff>
                <xdr:row>8</xdr:row>
                <xdr:rowOff>9525</xdr:rowOff>
              </from>
              <to>
                <xdr:col>12</xdr:col>
                <xdr:colOff>123825</xdr:colOff>
                <xdr:row>10</xdr:row>
                <xdr:rowOff>9525</xdr:rowOff>
              </to>
            </anchor>
          </controlPr>
        </control>
      </mc:Choice>
      <mc:Fallback>
        <control shapeId="3103" r:id="rId6" name="cmdprint"/>
      </mc:Fallback>
    </mc:AlternateContent>
    <mc:AlternateContent xmlns:mc="http://schemas.openxmlformats.org/markup-compatibility/2006">
      <mc:Choice Requires="x14">
        <control shapeId="3104" r:id="rId8" name="cmdSearch">
          <controlPr defaultSize="0" autoLine="0" autoPict="0" r:id="rId9">
            <anchor moveWithCells="1">
              <from>
                <xdr:col>10</xdr:col>
                <xdr:colOff>9525</xdr:colOff>
                <xdr:row>2</xdr:row>
                <xdr:rowOff>9525</xdr:rowOff>
              </from>
              <to>
                <xdr:col>12</xdr:col>
                <xdr:colOff>123825</xdr:colOff>
                <xdr:row>4</xdr:row>
                <xdr:rowOff>0</xdr:rowOff>
              </to>
            </anchor>
          </controlPr>
        </control>
      </mc:Choice>
      <mc:Fallback>
        <control shapeId="3104" r:id="rId8" name="cmdSearch"/>
      </mc:Fallback>
    </mc:AlternateContent>
    <mc:AlternateContent xmlns:mc="http://schemas.openxmlformats.org/markup-compatibility/2006">
      <mc:Choice Requires="x14">
        <control shapeId="3073" r:id="rId10" name="Check Box 1">
          <controlPr defaultSize="0" autoFill="0" autoLine="0" autoPict="0">
            <anchor moveWithCells="1">
              <from>
                <xdr:col>2</xdr:col>
                <xdr:colOff>0</xdr:colOff>
                <xdr:row>7</xdr:row>
                <xdr:rowOff>0</xdr:rowOff>
              </from>
              <to>
                <xdr:col>3</xdr:col>
                <xdr:colOff>314325</xdr:colOff>
                <xdr:row>8</xdr:row>
                <xdr:rowOff>19050</xdr:rowOff>
              </to>
            </anchor>
          </controlPr>
        </control>
      </mc:Choice>
    </mc:AlternateContent>
    <mc:AlternateContent xmlns:mc="http://schemas.openxmlformats.org/markup-compatibility/2006">
      <mc:Choice Requires="x14">
        <control shapeId="3074" r:id="rId11" name="Check Box 2">
          <controlPr defaultSize="0" autoFill="0" autoLine="0" autoPict="0">
            <anchor moveWithCells="1">
              <from>
                <xdr:col>4</xdr:col>
                <xdr:colOff>762000</xdr:colOff>
                <xdr:row>7</xdr:row>
                <xdr:rowOff>0</xdr:rowOff>
              </from>
              <to>
                <xdr:col>5</xdr:col>
                <xdr:colOff>1095375</xdr:colOff>
                <xdr:row>8</xdr:row>
                <xdr:rowOff>9525</xdr:rowOff>
              </to>
            </anchor>
          </controlPr>
        </control>
      </mc:Choice>
    </mc:AlternateContent>
    <mc:AlternateContent xmlns:mc="http://schemas.openxmlformats.org/markup-compatibility/2006">
      <mc:Choice Requires="x14">
        <control shapeId="3075" r:id="rId12" name="Check Box 3">
          <controlPr defaultSize="0" autoFill="0" autoLine="0" autoPict="0">
            <anchor moveWithCells="1">
              <from>
                <xdr:col>6</xdr:col>
                <xdr:colOff>19050</xdr:colOff>
                <xdr:row>7</xdr:row>
                <xdr:rowOff>0</xdr:rowOff>
              </from>
              <to>
                <xdr:col>8</xdr:col>
                <xdr:colOff>552450</xdr:colOff>
                <xdr:row>8</xdr:row>
                <xdr:rowOff>9525</xdr:rowOff>
              </to>
            </anchor>
          </controlPr>
        </control>
      </mc:Choice>
    </mc:AlternateContent>
    <mc:AlternateContent xmlns:mc="http://schemas.openxmlformats.org/markup-compatibility/2006">
      <mc:Choice Requires="x14">
        <control shapeId="3076" r:id="rId13" name="Check Box 4">
          <controlPr defaultSize="0" autoFill="0" autoLine="0" autoPict="0">
            <anchor moveWithCells="1">
              <from>
                <xdr:col>1</xdr:col>
                <xdr:colOff>1314450</xdr:colOff>
                <xdr:row>24</xdr:row>
                <xdr:rowOff>9525</xdr:rowOff>
              </from>
              <to>
                <xdr:col>3</xdr:col>
                <xdr:colOff>200025</xdr:colOff>
                <xdr:row>25</xdr:row>
                <xdr:rowOff>28575</xdr:rowOff>
              </to>
            </anchor>
          </controlPr>
        </control>
      </mc:Choice>
    </mc:AlternateContent>
    <mc:AlternateContent xmlns:mc="http://schemas.openxmlformats.org/markup-compatibility/2006">
      <mc:Choice Requires="x14">
        <control shapeId="3077" r:id="rId14" name="Check Box 5">
          <controlPr defaultSize="0" autoFill="0" autoLine="0" autoPict="0">
            <anchor moveWithCells="1">
              <from>
                <xdr:col>1</xdr:col>
                <xdr:colOff>1314450</xdr:colOff>
                <xdr:row>25</xdr:row>
                <xdr:rowOff>9525</xdr:rowOff>
              </from>
              <to>
                <xdr:col>3</xdr:col>
                <xdr:colOff>200025</xdr:colOff>
                <xdr:row>26</xdr:row>
                <xdr:rowOff>28575</xdr:rowOff>
              </to>
            </anchor>
          </controlPr>
        </control>
      </mc:Choice>
    </mc:AlternateContent>
    <mc:AlternateContent xmlns:mc="http://schemas.openxmlformats.org/markup-compatibility/2006">
      <mc:Choice Requires="x14">
        <control shapeId="3078" r:id="rId15" name="Check Box 6">
          <controlPr defaultSize="0" autoFill="0" autoLine="0" autoPict="0">
            <anchor moveWithCells="1">
              <from>
                <xdr:col>1</xdr:col>
                <xdr:colOff>1314450</xdr:colOff>
                <xdr:row>26</xdr:row>
                <xdr:rowOff>9525</xdr:rowOff>
              </from>
              <to>
                <xdr:col>3</xdr:col>
                <xdr:colOff>200025</xdr:colOff>
                <xdr:row>27</xdr:row>
                <xdr:rowOff>28575</xdr:rowOff>
              </to>
            </anchor>
          </controlPr>
        </control>
      </mc:Choice>
    </mc:AlternateContent>
    <mc:AlternateContent xmlns:mc="http://schemas.openxmlformats.org/markup-compatibility/2006">
      <mc:Choice Requires="x14">
        <control shapeId="3079" r:id="rId16" name="Check Box 7">
          <controlPr defaultSize="0" autoFill="0" autoLine="0" autoPict="0">
            <anchor moveWithCells="1">
              <from>
                <xdr:col>1</xdr:col>
                <xdr:colOff>1314450</xdr:colOff>
                <xdr:row>27</xdr:row>
                <xdr:rowOff>9525</xdr:rowOff>
              </from>
              <to>
                <xdr:col>3</xdr:col>
                <xdr:colOff>200025</xdr:colOff>
                <xdr:row>28</xdr:row>
                <xdr:rowOff>28575</xdr:rowOff>
              </to>
            </anchor>
          </controlPr>
        </control>
      </mc:Choice>
    </mc:AlternateContent>
    <mc:AlternateContent xmlns:mc="http://schemas.openxmlformats.org/markup-compatibility/2006">
      <mc:Choice Requires="x14">
        <control shapeId="3080" r:id="rId17" name="Check Box 8">
          <controlPr defaultSize="0" autoFill="0" autoLine="0" autoPict="0">
            <anchor moveWithCells="1">
              <from>
                <xdr:col>1</xdr:col>
                <xdr:colOff>1314450</xdr:colOff>
                <xdr:row>28</xdr:row>
                <xdr:rowOff>9525</xdr:rowOff>
              </from>
              <to>
                <xdr:col>3</xdr:col>
                <xdr:colOff>257175</xdr:colOff>
                <xdr:row>29</xdr:row>
                <xdr:rowOff>28575</xdr:rowOff>
              </to>
            </anchor>
          </controlPr>
        </control>
      </mc:Choice>
    </mc:AlternateContent>
    <mc:AlternateContent xmlns:mc="http://schemas.openxmlformats.org/markup-compatibility/2006">
      <mc:Choice Requires="x14">
        <control shapeId="3081" r:id="rId18" name="Check Box 9">
          <controlPr defaultSize="0" autoFill="0" autoLine="0" autoPict="0">
            <anchor moveWithCells="1">
              <from>
                <xdr:col>1</xdr:col>
                <xdr:colOff>1314450</xdr:colOff>
                <xdr:row>29</xdr:row>
                <xdr:rowOff>9525</xdr:rowOff>
              </from>
              <to>
                <xdr:col>3</xdr:col>
                <xdr:colOff>257175</xdr:colOff>
                <xdr:row>30</xdr:row>
                <xdr:rowOff>28575</xdr:rowOff>
              </to>
            </anchor>
          </controlPr>
        </control>
      </mc:Choice>
    </mc:AlternateContent>
    <mc:AlternateContent xmlns:mc="http://schemas.openxmlformats.org/markup-compatibility/2006">
      <mc:Choice Requires="x14">
        <control shapeId="3082" r:id="rId19" name="Check Box 10">
          <controlPr defaultSize="0" autoFill="0" autoLine="0" autoPict="0">
            <anchor moveWithCells="1">
              <from>
                <xdr:col>4</xdr:col>
                <xdr:colOff>476250</xdr:colOff>
                <xdr:row>24</xdr:row>
                <xdr:rowOff>9525</xdr:rowOff>
              </from>
              <to>
                <xdr:col>5</xdr:col>
                <xdr:colOff>876300</xdr:colOff>
                <xdr:row>25</xdr:row>
                <xdr:rowOff>28575</xdr:rowOff>
              </to>
            </anchor>
          </controlPr>
        </control>
      </mc:Choice>
    </mc:AlternateContent>
    <mc:AlternateContent xmlns:mc="http://schemas.openxmlformats.org/markup-compatibility/2006">
      <mc:Choice Requires="x14">
        <control shapeId="3083" r:id="rId20" name="Check Box 11">
          <controlPr defaultSize="0" autoFill="0" autoLine="0" autoPict="0">
            <anchor moveWithCells="1">
              <from>
                <xdr:col>4</xdr:col>
                <xdr:colOff>476250</xdr:colOff>
                <xdr:row>25</xdr:row>
                <xdr:rowOff>9525</xdr:rowOff>
              </from>
              <to>
                <xdr:col>5</xdr:col>
                <xdr:colOff>876300</xdr:colOff>
                <xdr:row>26</xdr:row>
                <xdr:rowOff>28575</xdr:rowOff>
              </to>
            </anchor>
          </controlPr>
        </control>
      </mc:Choice>
    </mc:AlternateContent>
    <mc:AlternateContent xmlns:mc="http://schemas.openxmlformats.org/markup-compatibility/2006">
      <mc:Choice Requires="x14">
        <control shapeId="3084" r:id="rId21" name="Check Box 12">
          <controlPr defaultSize="0" autoFill="0" autoLine="0" autoPict="0">
            <anchor moveWithCells="1">
              <from>
                <xdr:col>4</xdr:col>
                <xdr:colOff>476250</xdr:colOff>
                <xdr:row>26</xdr:row>
                <xdr:rowOff>9525</xdr:rowOff>
              </from>
              <to>
                <xdr:col>5</xdr:col>
                <xdr:colOff>876300</xdr:colOff>
                <xdr:row>27</xdr:row>
                <xdr:rowOff>28575</xdr:rowOff>
              </to>
            </anchor>
          </controlPr>
        </control>
      </mc:Choice>
    </mc:AlternateContent>
    <mc:AlternateContent xmlns:mc="http://schemas.openxmlformats.org/markup-compatibility/2006">
      <mc:Choice Requires="x14">
        <control shapeId="3085" r:id="rId22" name="Check Box 13">
          <controlPr defaultSize="0" autoFill="0" autoLine="0" autoPict="0">
            <anchor moveWithCells="1">
              <from>
                <xdr:col>4</xdr:col>
                <xdr:colOff>476250</xdr:colOff>
                <xdr:row>27</xdr:row>
                <xdr:rowOff>9525</xdr:rowOff>
              </from>
              <to>
                <xdr:col>5</xdr:col>
                <xdr:colOff>876300</xdr:colOff>
                <xdr:row>28</xdr:row>
                <xdr:rowOff>28575</xdr:rowOff>
              </to>
            </anchor>
          </controlPr>
        </control>
      </mc:Choice>
    </mc:AlternateContent>
    <mc:AlternateContent xmlns:mc="http://schemas.openxmlformats.org/markup-compatibility/2006">
      <mc:Choice Requires="x14">
        <control shapeId="3086" r:id="rId23" name="Check Box 14">
          <controlPr defaultSize="0" autoFill="0" autoLine="0" autoPict="0">
            <anchor moveWithCells="1">
              <from>
                <xdr:col>4</xdr:col>
                <xdr:colOff>476250</xdr:colOff>
                <xdr:row>28</xdr:row>
                <xdr:rowOff>9525</xdr:rowOff>
              </from>
              <to>
                <xdr:col>5</xdr:col>
                <xdr:colOff>876300</xdr:colOff>
                <xdr:row>29</xdr:row>
                <xdr:rowOff>28575</xdr:rowOff>
              </to>
            </anchor>
          </controlPr>
        </control>
      </mc:Choice>
    </mc:AlternateContent>
    <mc:AlternateContent xmlns:mc="http://schemas.openxmlformats.org/markup-compatibility/2006">
      <mc:Choice Requires="x14">
        <control shapeId="3087" r:id="rId24" name="Check Box 15">
          <controlPr defaultSize="0" autoFill="0" autoLine="0" autoPict="0">
            <anchor moveWithCells="1">
              <from>
                <xdr:col>4</xdr:col>
                <xdr:colOff>476250</xdr:colOff>
                <xdr:row>29</xdr:row>
                <xdr:rowOff>9525</xdr:rowOff>
              </from>
              <to>
                <xdr:col>5</xdr:col>
                <xdr:colOff>876300</xdr:colOff>
                <xdr:row>30</xdr:row>
                <xdr:rowOff>28575</xdr:rowOff>
              </to>
            </anchor>
          </controlPr>
        </control>
      </mc:Choice>
    </mc:AlternateContent>
    <mc:AlternateContent xmlns:mc="http://schemas.openxmlformats.org/markup-compatibility/2006">
      <mc:Choice Requires="x14">
        <control shapeId="3088" r:id="rId25" name="Check Box 16">
          <controlPr defaultSize="0" autoFill="0" autoLine="0" autoPict="0">
            <anchor moveWithCells="1">
              <from>
                <xdr:col>5</xdr:col>
                <xdr:colOff>1228725</xdr:colOff>
                <xdr:row>24</xdr:row>
                <xdr:rowOff>9525</xdr:rowOff>
              </from>
              <to>
                <xdr:col>7</xdr:col>
                <xdr:colOff>428625</xdr:colOff>
                <xdr:row>25</xdr:row>
                <xdr:rowOff>28575</xdr:rowOff>
              </to>
            </anchor>
          </controlPr>
        </control>
      </mc:Choice>
    </mc:AlternateContent>
    <mc:AlternateContent xmlns:mc="http://schemas.openxmlformats.org/markup-compatibility/2006">
      <mc:Choice Requires="x14">
        <control shapeId="3089" r:id="rId26" name="Check Box 17">
          <controlPr defaultSize="0" autoFill="0" autoLine="0" autoPict="0">
            <anchor moveWithCells="1">
              <from>
                <xdr:col>5</xdr:col>
                <xdr:colOff>1228725</xdr:colOff>
                <xdr:row>25</xdr:row>
                <xdr:rowOff>9525</xdr:rowOff>
              </from>
              <to>
                <xdr:col>7</xdr:col>
                <xdr:colOff>428625</xdr:colOff>
                <xdr:row>26</xdr:row>
                <xdr:rowOff>28575</xdr:rowOff>
              </to>
            </anchor>
          </controlPr>
        </control>
      </mc:Choice>
    </mc:AlternateContent>
    <mc:AlternateContent xmlns:mc="http://schemas.openxmlformats.org/markup-compatibility/2006">
      <mc:Choice Requires="x14">
        <control shapeId="3090" r:id="rId27" name="Check Box 18">
          <controlPr defaultSize="0" autoFill="0" autoLine="0" autoPict="0">
            <anchor moveWithCells="1">
              <from>
                <xdr:col>5</xdr:col>
                <xdr:colOff>1228725</xdr:colOff>
                <xdr:row>26</xdr:row>
                <xdr:rowOff>9525</xdr:rowOff>
              </from>
              <to>
                <xdr:col>7</xdr:col>
                <xdr:colOff>428625</xdr:colOff>
                <xdr:row>27</xdr:row>
                <xdr:rowOff>28575</xdr:rowOff>
              </to>
            </anchor>
          </controlPr>
        </control>
      </mc:Choice>
    </mc:AlternateContent>
    <mc:AlternateContent xmlns:mc="http://schemas.openxmlformats.org/markup-compatibility/2006">
      <mc:Choice Requires="x14">
        <control shapeId="3091" r:id="rId28" name="Check Box 19">
          <controlPr defaultSize="0" autoFill="0" autoLine="0" autoPict="0">
            <anchor moveWithCells="1">
              <from>
                <xdr:col>5</xdr:col>
                <xdr:colOff>1228725</xdr:colOff>
                <xdr:row>27</xdr:row>
                <xdr:rowOff>9525</xdr:rowOff>
              </from>
              <to>
                <xdr:col>7</xdr:col>
                <xdr:colOff>428625</xdr:colOff>
                <xdr:row>28</xdr:row>
                <xdr:rowOff>28575</xdr:rowOff>
              </to>
            </anchor>
          </controlPr>
        </control>
      </mc:Choice>
    </mc:AlternateContent>
    <mc:AlternateContent xmlns:mc="http://schemas.openxmlformats.org/markup-compatibility/2006">
      <mc:Choice Requires="x14">
        <control shapeId="3092" r:id="rId29" name="Check Box 20">
          <controlPr defaultSize="0" autoFill="0" autoLine="0" autoPict="0">
            <anchor moveWithCells="1">
              <from>
                <xdr:col>5</xdr:col>
                <xdr:colOff>1228725</xdr:colOff>
                <xdr:row>28</xdr:row>
                <xdr:rowOff>9525</xdr:rowOff>
              </from>
              <to>
                <xdr:col>5</xdr:col>
                <xdr:colOff>1885950</xdr:colOff>
                <xdr:row>29</xdr:row>
                <xdr:rowOff>38100</xdr:rowOff>
              </to>
            </anchor>
          </controlPr>
        </control>
      </mc:Choice>
    </mc:AlternateContent>
    <mc:AlternateContent xmlns:mc="http://schemas.openxmlformats.org/markup-compatibility/2006">
      <mc:Choice Requires="x14">
        <control shapeId="3093" r:id="rId30" name="Check Box 21">
          <controlPr defaultSize="0" autoFill="0" autoLine="0" autoPict="0">
            <anchor moveWithCells="1">
              <from>
                <xdr:col>5</xdr:col>
                <xdr:colOff>1228725</xdr:colOff>
                <xdr:row>29</xdr:row>
                <xdr:rowOff>9525</xdr:rowOff>
              </from>
              <to>
                <xdr:col>7</xdr:col>
                <xdr:colOff>428625</xdr:colOff>
                <xdr:row>30</xdr:row>
                <xdr:rowOff>28575</xdr:rowOff>
              </to>
            </anchor>
          </controlPr>
        </control>
      </mc:Choice>
    </mc:AlternateContent>
    <mc:AlternateContent xmlns:mc="http://schemas.openxmlformats.org/markup-compatibility/2006">
      <mc:Choice Requires="x14">
        <control shapeId="3094" r:id="rId31" name="Check Box 22">
          <controlPr defaultSize="0" autoFill="0" autoLine="0" autoPict="0">
            <anchor moveWithCells="1">
              <from>
                <xdr:col>8</xdr:col>
                <xdr:colOff>438150</xdr:colOff>
                <xdr:row>24</xdr:row>
                <xdr:rowOff>9525</xdr:rowOff>
              </from>
              <to>
                <xdr:col>9</xdr:col>
                <xdr:colOff>428625</xdr:colOff>
                <xdr:row>25</xdr:row>
                <xdr:rowOff>28575</xdr:rowOff>
              </to>
            </anchor>
          </controlPr>
        </control>
      </mc:Choice>
    </mc:AlternateContent>
    <mc:AlternateContent xmlns:mc="http://schemas.openxmlformats.org/markup-compatibility/2006">
      <mc:Choice Requires="x14">
        <control shapeId="3095" r:id="rId32" name="Check Box 23">
          <controlPr defaultSize="0" autoFill="0" autoLine="0" autoPict="0">
            <anchor moveWithCells="1">
              <from>
                <xdr:col>8</xdr:col>
                <xdr:colOff>438150</xdr:colOff>
                <xdr:row>25</xdr:row>
                <xdr:rowOff>9525</xdr:rowOff>
              </from>
              <to>
                <xdr:col>9</xdr:col>
                <xdr:colOff>428625</xdr:colOff>
                <xdr:row>26</xdr:row>
                <xdr:rowOff>28575</xdr:rowOff>
              </to>
            </anchor>
          </controlPr>
        </control>
      </mc:Choice>
    </mc:AlternateContent>
    <mc:AlternateContent xmlns:mc="http://schemas.openxmlformats.org/markup-compatibility/2006">
      <mc:Choice Requires="x14">
        <control shapeId="3096" r:id="rId33" name="Check Box 24">
          <controlPr defaultSize="0" autoFill="0" autoLine="0" autoPict="0">
            <anchor moveWithCells="1">
              <from>
                <xdr:col>8</xdr:col>
                <xdr:colOff>438150</xdr:colOff>
                <xdr:row>26</xdr:row>
                <xdr:rowOff>9525</xdr:rowOff>
              </from>
              <to>
                <xdr:col>9</xdr:col>
                <xdr:colOff>428625</xdr:colOff>
                <xdr:row>27</xdr:row>
                <xdr:rowOff>28575</xdr:rowOff>
              </to>
            </anchor>
          </controlPr>
        </control>
      </mc:Choice>
    </mc:AlternateContent>
    <mc:AlternateContent xmlns:mc="http://schemas.openxmlformats.org/markup-compatibility/2006">
      <mc:Choice Requires="x14">
        <control shapeId="3097" r:id="rId34" name="Check Box 25">
          <controlPr defaultSize="0" autoFill="0" autoLine="0" autoPict="0">
            <anchor moveWithCells="1">
              <from>
                <xdr:col>8</xdr:col>
                <xdr:colOff>438150</xdr:colOff>
                <xdr:row>27</xdr:row>
                <xdr:rowOff>9525</xdr:rowOff>
              </from>
              <to>
                <xdr:col>9</xdr:col>
                <xdr:colOff>428625</xdr:colOff>
                <xdr:row>28</xdr:row>
                <xdr:rowOff>28575</xdr:rowOff>
              </to>
            </anchor>
          </controlPr>
        </control>
      </mc:Choice>
    </mc:AlternateContent>
    <mc:AlternateContent xmlns:mc="http://schemas.openxmlformats.org/markup-compatibility/2006">
      <mc:Choice Requires="x14">
        <control shapeId="3098" r:id="rId35" name="Check Box 26">
          <controlPr defaultSize="0" autoFill="0" autoLine="0" autoPict="0">
            <anchor moveWithCells="1">
              <from>
                <xdr:col>2</xdr:col>
                <xdr:colOff>0</xdr:colOff>
                <xdr:row>7</xdr:row>
                <xdr:rowOff>0</xdr:rowOff>
              </from>
              <to>
                <xdr:col>3</xdr:col>
                <xdr:colOff>295275</xdr:colOff>
                <xdr:row>8</xdr:row>
                <xdr:rowOff>19050</xdr:rowOff>
              </to>
            </anchor>
          </controlPr>
        </control>
      </mc:Choice>
    </mc:AlternateContent>
    <mc:AlternateContent xmlns:mc="http://schemas.openxmlformats.org/markup-compatibility/2006">
      <mc:Choice Requires="x14">
        <control shapeId="3099" r:id="rId36" name="Check Box 27">
          <controlPr defaultSize="0" autoFill="0" autoLine="0" autoPict="0">
            <anchor moveWithCells="1">
              <from>
                <xdr:col>4</xdr:col>
                <xdr:colOff>762000</xdr:colOff>
                <xdr:row>7</xdr:row>
                <xdr:rowOff>0</xdr:rowOff>
              </from>
              <to>
                <xdr:col>5</xdr:col>
                <xdr:colOff>1095375</xdr:colOff>
                <xdr:row>8</xdr:row>
                <xdr:rowOff>9525</xdr:rowOff>
              </to>
            </anchor>
          </controlPr>
        </control>
      </mc:Choice>
    </mc:AlternateContent>
    <mc:AlternateContent xmlns:mc="http://schemas.openxmlformats.org/markup-compatibility/2006">
      <mc:Choice Requires="x14">
        <control shapeId="3100" r:id="rId37" name="Check Box 28">
          <controlPr defaultSize="0" autoFill="0" autoLine="0" autoPict="0">
            <anchor moveWithCells="1">
              <from>
                <xdr:col>6</xdr:col>
                <xdr:colOff>19050</xdr:colOff>
                <xdr:row>7</xdr:row>
                <xdr:rowOff>0</xdr:rowOff>
              </from>
              <to>
                <xdr:col>8</xdr:col>
                <xdr:colOff>590550</xdr:colOff>
                <xdr:row>8</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V530"/>
  <sheetViews>
    <sheetView workbookViewId="0">
      <selection activeCell="D2" sqref="D2:D4"/>
    </sheetView>
  </sheetViews>
  <sheetFormatPr baseColWidth="10" defaultRowHeight="15" x14ac:dyDescent="0.25"/>
  <cols>
    <col min="3" max="3" width="36.28515625" bestFit="1" customWidth="1"/>
    <col min="4" max="4" width="30.42578125" bestFit="1" customWidth="1"/>
    <col min="5" max="5" width="25.85546875" customWidth="1"/>
    <col min="6" max="6" width="25.7109375" bestFit="1" customWidth="1"/>
    <col min="7" max="7" width="34.28515625" bestFit="1" customWidth="1"/>
    <col min="8" max="8" width="10.140625" bestFit="1" customWidth="1"/>
    <col min="9" max="9" width="14" bestFit="1" customWidth="1"/>
    <col min="10" max="10" width="8.7109375" bestFit="1" customWidth="1"/>
    <col min="11" max="11" width="20.28515625" bestFit="1" customWidth="1"/>
    <col min="12" max="12" width="28.140625" customWidth="1"/>
    <col min="13" max="13" width="14.28515625" bestFit="1" customWidth="1"/>
    <col min="14" max="14" width="10.140625" bestFit="1" customWidth="1"/>
    <col min="15" max="15" width="14" bestFit="1" customWidth="1"/>
    <col min="16" max="16" width="8.7109375" bestFit="1" customWidth="1"/>
    <col min="17" max="17" width="20.28515625" bestFit="1" customWidth="1"/>
    <col min="18" max="18" width="27.85546875" bestFit="1" customWidth="1"/>
    <col min="19" max="19" width="18.7109375" bestFit="1" customWidth="1"/>
    <col min="20" max="20" width="21.5703125" bestFit="1" customWidth="1"/>
    <col min="21" max="21" width="13.140625" bestFit="1" customWidth="1"/>
    <col min="22" max="22" width="26" customWidth="1"/>
  </cols>
  <sheetData>
    <row r="1" spans="1:22" ht="15.75" x14ac:dyDescent="0.25">
      <c r="H1" s="197" t="s">
        <v>41</v>
      </c>
      <c r="I1" s="198"/>
      <c r="J1" s="198"/>
      <c r="K1" s="198"/>
      <c r="L1" s="198"/>
      <c r="M1" s="199"/>
      <c r="N1" s="197" t="s">
        <v>42</v>
      </c>
      <c r="O1" s="198"/>
      <c r="P1" s="198"/>
      <c r="Q1" s="198"/>
      <c r="R1" s="198"/>
      <c r="S1" s="197" t="s">
        <v>81</v>
      </c>
      <c r="T1" s="198"/>
      <c r="U1" s="198"/>
    </row>
    <row r="2" spans="1:22" ht="15.75" x14ac:dyDescent="0.25">
      <c r="A2" s="58" t="s">
        <v>84</v>
      </c>
      <c r="B2" s="58" t="s">
        <v>76</v>
      </c>
      <c r="C2" s="58" t="s">
        <v>10</v>
      </c>
      <c r="D2" s="59" t="s">
        <v>11</v>
      </c>
      <c r="E2" s="58" t="s">
        <v>77</v>
      </c>
      <c r="F2" s="58" t="s">
        <v>78</v>
      </c>
      <c r="G2" s="58" t="s">
        <v>79</v>
      </c>
      <c r="H2" s="58" t="s">
        <v>69</v>
      </c>
      <c r="I2" s="58" t="s">
        <v>70</v>
      </c>
      <c r="J2" s="58" t="s">
        <v>71</v>
      </c>
      <c r="K2" s="58" t="s">
        <v>72</v>
      </c>
      <c r="L2" s="58" t="s">
        <v>80</v>
      </c>
      <c r="M2" s="58" t="s">
        <v>74</v>
      </c>
      <c r="N2" s="58" t="s">
        <v>69</v>
      </c>
      <c r="O2" s="58" t="s">
        <v>70</v>
      </c>
      <c r="P2" s="58" t="s">
        <v>71</v>
      </c>
      <c r="Q2" s="58" t="s">
        <v>72</v>
      </c>
      <c r="R2" s="58" t="s">
        <v>75</v>
      </c>
      <c r="S2" s="67" t="s">
        <v>15</v>
      </c>
      <c r="T2" s="67" t="s">
        <v>16</v>
      </c>
      <c r="U2" s="67" t="s">
        <v>17</v>
      </c>
      <c r="V2" s="67" t="s">
        <v>380</v>
      </c>
    </row>
    <row r="3" spans="1:22" x14ac:dyDescent="0.25">
      <c r="A3">
        <v>19</v>
      </c>
      <c r="B3" s="73">
        <v>19</v>
      </c>
      <c r="C3" t="s">
        <v>152</v>
      </c>
      <c r="D3" s="68" t="s">
        <v>224</v>
      </c>
      <c r="E3" s="68">
        <v>701574386</v>
      </c>
      <c r="F3" s="96">
        <v>44686</v>
      </c>
      <c r="G3" s="68" t="s">
        <v>225</v>
      </c>
      <c r="H3" s="68" t="s">
        <v>118</v>
      </c>
      <c r="I3" s="68" t="s">
        <v>118</v>
      </c>
      <c r="J3" s="68" t="s">
        <v>226</v>
      </c>
      <c r="K3" s="68" t="s">
        <v>85</v>
      </c>
      <c r="L3" s="68">
        <v>3038</v>
      </c>
      <c r="M3" s="68" t="s">
        <v>118</v>
      </c>
      <c r="N3" s="68"/>
      <c r="O3" s="68"/>
      <c r="P3" s="68"/>
      <c r="Q3" s="68"/>
      <c r="R3" s="68" t="s">
        <v>227</v>
      </c>
      <c r="S3" s="68">
        <v>30</v>
      </c>
      <c r="T3" s="68">
        <v>12</v>
      </c>
      <c r="U3" s="68">
        <f>S3-T3</f>
        <v>18</v>
      </c>
      <c r="V3" t="s">
        <v>121</v>
      </c>
    </row>
    <row r="4" spans="1:22" x14ac:dyDescent="0.25">
      <c r="A4">
        <v>21</v>
      </c>
      <c r="B4" s="73">
        <v>20</v>
      </c>
      <c r="C4" t="s">
        <v>158</v>
      </c>
      <c r="D4" t="s">
        <v>229</v>
      </c>
      <c r="E4">
        <v>701794802</v>
      </c>
      <c r="F4" s="94">
        <v>44684</v>
      </c>
      <c r="G4" t="s">
        <v>230</v>
      </c>
      <c r="H4" t="s">
        <v>125</v>
      </c>
      <c r="I4" t="s">
        <v>231</v>
      </c>
      <c r="J4" t="s">
        <v>232</v>
      </c>
      <c r="K4" t="s">
        <v>85</v>
      </c>
      <c r="L4">
        <v>675</v>
      </c>
      <c r="M4" t="s">
        <v>125</v>
      </c>
      <c r="R4" t="s">
        <v>233</v>
      </c>
      <c r="S4">
        <v>26</v>
      </c>
      <c r="T4">
        <v>15</v>
      </c>
      <c r="U4">
        <f>S4-T4</f>
        <v>11</v>
      </c>
    </row>
    <row r="5" spans="1:22" x14ac:dyDescent="0.25">
      <c r="A5">
        <v>22</v>
      </c>
      <c r="B5" s="73">
        <v>21</v>
      </c>
      <c r="C5" t="s">
        <v>164</v>
      </c>
      <c r="D5" t="s">
        <v>235</v>
      </c>
      <c r="E5">
        <v>925885170</v>
      </c>
      <c r="F5" s="94">
        <v>44697</v>
      </c>
      <c r="G5" t="s">
        <v>236</v>
      </c>
      <c r="H5" t="s">
        <v>134</v>
      </c>
      <c r="I5" t="s">
        <v>237</v>
      </c>
      <c r="J5" t="s">
        <v>238</v>
      </c>
      <c r="K5" t="s">
        <v>85</v>
      </c>
      <c r="L5">
        <v>817</v>
      </c>
      <c r="M5" t="s">
        <v>134</v>
      </c>
      <c r="R5" t="s">
        <v>239</v>
      </c>
      <c r="S5">
        <v>29</v>
      </c>
      <c r="T5">
        <v>7</v>
      </c>
      <c r="U5">
        <f>S5-T5</f>
        <v>22</v>
      </c>
    </row>
    <row r="6" spans="1:22" x14ac:dyDescent="0.25">
      <c r="A6">
        <v>23</v>
      </c>
      <c r="B6" s="73">
        <v>22</v>
      </c>
      <c r="C6" t="s">
        <v>170</v>
      </c>
      <c r="D6" t="s">
        <v>241</v>
      </c>
      <c r="E6">
        <v>701499154</v>
      </c>
      <c r="F6" s="94">
        <v>44705</v>
      </c>
      <c r="G6" t="s">
        <v>242</v>
      </c>
      <c r="H6" t="s">
        <v>243</v>
      </c>
      <c r="I6" t="s">
        <v>244</v>
      </c>
      <c r="J6" t="s">
        <v>245</v>
      </c>
      <c r="K6" t="s">
        <v>85</v>
      </c>
      <c r="L6">
        <v>1676</v>
      </c>
      <c r="M6" t="s">
        <v>243</v>
      </c>
      <c r="R6" t="s">
        <v>246</v>
      </c>
      <c r="S6">
        <v>29</v>
      </c>
      <c r="T6">
        <v>8</v>
      </c>
      <c r="U6">
        <f>S6-T6</f>
        <v>21</v>
      </c>
    </row>
    <row r="7" spans="1:22" x14ac:dyDescent="0.25">
      <c r="A7">
        <v>24</v>
      </c>
      <c r="B7" s="73">
        <v>23</v>
      </c>
      <c r="C7" t="s">
        <v>174</v>
      </c>
      <c r="D7" t="s">
        <v>248</v>
      </c>
      <c r="E7">
        <v>704818533</v>
      </c>
      <c r="F7" s="94">
        <v>44690</v>
      </c>
      <c r="G7" t="s">
        <v>252</v>
      </c>
      <c r="H7" t="s">
        <v>191</v>
      </c>
      <c r="I7" t="s">
        <v>249</v>
      </c>
      <c r="J7" t="s">
        <v>250</v>
      </c>
      <c r="K7" t="s">
        <v>85</v>
      </c>
      <c r="L7">
        <v>1676</v>
      </c>
      <c r="M7" t="s">
        <v>191</v>
      </c>
      <c r="R7" t="s">
        <v>251</v>
      </c>
      <c r="S7">
        <v>25</v>
      </c>
      <c r="T7">
        <v>14</v>
      </c>
      <c r="U7">
        <f>S7-T7</f>
        <v>11</v>
      </c>
    </row>
    <row r="8" spans="1:22" x14ac:dyDescent="0.25">
      <c r="A8">
        <v>25</v>
      </c>
      <c r="B8" s="73">
        <v>24</v>
      </c>
      <c r="C8" t="s">
        <v>117</v>
      </c>
      <c r="D8" t="s">
        <v>254</v>
      </c>
      <c r="E8">
        <v>701459323</v>
      </c>
      <c r="F8" s="94">
        <v>44718</v>
      </c>
      <c r="G8" t="s">
        <v>255</v>
      </c>
      <c r="H8" t="s">
        <v>256</v>
      </c>
      <c r="I8" t="s">
        <v>257</v>
      </c>
      <c r="J8" t="s">
        <v>258</v>
      </c>
      <c r="K8" t="s">
        <v>85</v>
      </c>
      <c r="L8">
        <v>1086</v>
      </c>
      <c r="M8" t="s">
        <v>256</v>
      </c>
      <c r="R8" t="s">
        <v>259</v>
      </c>
      <c r="S8">
        <v>25</v>
      </c>
      <c r="T8">
        <v>25</v>
      </c>
      <c r="U8">
        <f>S8-T8</f>
        <v>0</v>
      </c>
    </row>
    <row r="9" spans="1:22" x14ac:dyDescent="0.25">
      <c r="A9">
        <v>26</v>
      </c>
      <c r="B9" s="73">
        <v>25</v>
      </c>
      <c r="C9" t="s">
        <v>179</v>
      </c>
      <c r="D9" t="s">
        <v>260</v>
      </c>
      <c r="E9">
        <v>705836898</v>
      </c>
      <c r="F9" s="94">
        <v>44684</v>
      </c>
      <c r="G9" t="s">
        <v>262</v>
      </c>
      <c r="H9" t="s">
        <v>125</v>
      </c>
      <c r="I9" t="s">
        <v>263</v>
      </c>
      <c r="J9" t="s">
        <v>264</v>
      </c>
      <c r="K9" t="s">
        <v>85</v>
      </c>
      <c r="L9">
        <v>733</v>
      </c>
      <c r="M9" t="s">
        <v>125</v>
      </c>
      <c r="R9" t="s">
        <v>265</v>
      </c>
      <c r="S9">
        <v>28</v>
      </c>
      <c r="T9">
        <v>14</v>
      </c>
      <c r="U9">
        <f>S9-T9</f>
        <v>14</v>
      </c>
    </row>
    <row r="10" spans="1:22" x14ac:dyDescent="0.25">
      <c r="A10">
        <v>27</v>
      </c>
      <c r="B10" s="73">
        <v>26</v>
      </c>
      <c r="C10" t="s">
        <v>187</v>
      </c>
      <c r="D10" t="s">
        <v>267</v>
      </c>
      <c r="E10">
        <v>701852329</v>
      </c>
      <c r="F10" s="94">
        <v>44687</v>
      </c>
      <c r="G10" t="s">
        <v>272</v>
      </c>
      <c r="H10" t="s">
        <v>271</v>
      </c>
      <c r="I10" t="s">
        <v>270</v>
      </c>
      <c r="J10" t="s">
        <v>269</v>
      </c>
      <c r="K10" t="s">
        <v>85</v>
      </c>
      <c r="L10">
        <v>1212</v>
      </c>
      <c r="M10" t="s">
        <v>271</v>
      </c>
      <c r="R10" t="s">
        <v>268</v>
      </c>
      <c r="S10">
        <v>30</v>
      </c>
      <c r="T10">
        <v>12</v>
      </c>
      <c r="U10">
        <f>S10-T10</f>
        <v>18</v>
      </c>
    </row>
    <row r="11" spans="1:22" x14ac:dyDescent="0.25">
      <c r="A11">
        <v>28</v>
      </c>
      <c r="B11" s="73">
        <v>27</v>
      </c>
      <c r="C11" t="s">
        <v>194</v>
      </c>
      <c r="D11" t="s">
        <v>274</v>
      </c>
      <c r="E11">
        <v>702069337</v>
      </c>
      <c r="F11" s="94">
        <v>44718</v>
      </c>
      <c r="G11" t="s">
        <v>275</v>
      </c>
      <c r="H11" t="s">
        <v>276</v>
      </c>
      <c r="I11" t="s">
        <v>276</v>
      </c>
      <c r="J11" t="s">
        <v>277</v>
      </c>
      <c r="K11" t="s">
        <v>85</v>
      </c>
      <c r="L11">
        <v>733</v>
      </c>
      <c r="M11" t="s">
        <v>276</v>
      </c>
      <c r="R11" t="s">
        <v>278</v>
      </c>
      <c r="S11">
        <v>26</v>
      </c>
      <c r="T11">
        <v>15</v>
      </c>
      <c r="U11">
        <f>S11-T11</f>
        <v>11</v>
      </c>
    </row>
    <row r="12" spans="1:22" x14ac:dyDescent="0.25">
      <c r="A12">
        <v>29</v>
      </c>
      <c r="B12" s="73">
        <v>28</v>
      </c>
      <c r="C12" t="s">
        <v>200</v>
      </c>
      <c r="D12" t="s">
        <v>280</v>
      </c>
      <c r="E12">
        <v>700777923</v>
      </c>
      <c r="F12" s="94">
        <v>44713</v>
      </c>
      <c r="G12" t="s">
        <v>281</v>
      </c>
      <c r="H12" t="s">
        <v>125</v>
      </c>
      <c r="I12" t="s">
        <v>263</v>
      </c>
      <c r="J12" t="s">
        <v>264</v>
      </c>
      <c r="K12" t="s">
        <v>85</v>
      </c>
      <c r="L12">
        <v>733</v>
      </c>
      <c r="M12" t="s">
        <v>125</v>
      </c>
      <c r="R12" t="s">
        <v>268</v>
      </c>
      <c r="S12">
        <v>30</v>
      </c>
      <c r="T12">
        <v>20</v>
      </c>
      <c r="U12">
        <f>S12-T12</f>
        <v>10</v>
      </c>
    </row>
    <row r="13" spans="1:22" x14ac:dyDescent="0.25">
      <c r="A13">
        <v>30</v>
      </c>
      <c r="B13" s="73">
        <v>29</v>
      </c>
      <c r="C13" t="s">
        <v>206</v>
      </c>
      <c r="D13" t="s">
        <v>283</v>
      </c>
      <c r="E13">
        <v>702385451</v>
      </c>
      <c r="F13" s="94">
        <v>44718</v>
      </c>
      <c r="G13" t="s">
        <v>284</v>
      </c>
      <c r="H13" t="s">
        <v>134</v>
      </c>
      <c r="I13" t="s">
        <v>286</v>
      </c>
      <c r="J13" t="s">
        <v>177</v>
      </c>
      <c r="K13" t="s">
        <v>85</v>
      </c>
      <c r="L13">
        <v>464.29</v>
      </c>
      <c r="M13" t="s">
        <v>134</v>
      </c>
      <c r="R13" t="s">
        <v>285</v>
      </c>
      <c r="S13">
        <v>30</v>
      </c>
      <c r="T13">
        <v>30</v>
      </c>
      <c r="U13">
        <f>S13-T13</f>
        <v>0</v>
      </c>
    </row>
    <row r="14" spans="1:22" x14ac:dyDescent="0.25">
      <c r="A14">
        <v>31</v>
      </c>
      <c r="B14" s="73">
        <v>30</v>
      </c>
      <c r="C14" t="s">
        <v>212</v>
      </c>
      <c r="D14" t="s">
        <v>288</v>
      </c>
      <c r="E14">
        <v>705105989</v>
      </c>
      <c r="F14" s="94">
        <v>44687</v>
      </c>
      <c r="G14" t="s">
        <v>289</v>
      </c>
      <c r="H14" t="s">
        <v>134</v>
      </c>
      <c r="I14" t="s">
        <v>286</v>
      </c>
      <c r="J14" t="s">
        <v>177</v>
      </c>
      <c r="K14" t="s">
        <v>85</v>
      </c>
      <c r="L14">
        <v>464.29</v>
      </c>
      <c r="M14" t="s">
        <v>134</v>
      </c>
      <c r="R14" t="s">
        <v>285</v>
      </c>
      <c r="S14">
        <v>26</v>
      </c>
      <c r="T14">
        <v>20</v>
      </c>
      <c r="U14">
        <f>S14-T14</f>
        <v>6</v>
      </c>
    </row>
    <row r="15" spans="1:22" x14ac:dyDescent="0.25">
      <c r="A15">
        <v>3</v>
      </c>
      <c r="B15" s="73">
        <v>31</v>
      </c>
      <c r="C15" t="s">
        <v>228</v>
      </c>
      <c r="D15" t="s">
        <v>127</v>
      </c>
      <c r="E15">
        <v>702630971</v>
      </c>
      <c r="F15" s="94">
        <v>44579</v>
      </c>
      <c r="G15" t="s">
        <v>145</v>
      </c>
      <c r="H15" t="s">
        <v>118</v>
      </c>
      <c r="I15" t="s">
        <v>128</v>
      </c>
      <c r="J15" t="s">
        <v>129</v>
      </c>
      <c r="K15" t="s">
        <v>85</v>
      </c>
      <c r="L15">
        <v>1212</v>
      </c>
      <c r="M15" t="s">
        <v>118</v>
      </c>
      <c r="R15" t="s">
        <v>130</v>
      </c>
      <c r="S15">
        <v>30</v>
      </c>
      <c r="T15">
        <v>15</v>
      </c>
      <c r="U15">
        <f>S15-T15</f>
        <v>15</v>
      </c>
    </row>
    <row r="16" spans="1:22" x14ac:dyDescent="0.25">
      <c r="A16">
        <v>32</v>
      </c>
      <c r="B16" s="73">
        <v>31</v>
      </c>
      <c r="C16" t="s">
        <v>216</v>
      </c>
      <c r="D16" t="s">
        <v>291</v>
      </c>
      <c r="E16">
        <v>702049354</v>
      </c>
      <c r="F16" s="94">
        <v>44719</v>
      </c>
      <c r="G16" t="s">
        <v>292</v>
      </c>
      <c r="H16" t="s">
        <v>219</v>
      </c>
      <c r="I16" t="s">
        <v>219</v>
      </c>
      <c r="J16" t="s">
        <v>293</v>
      </c>
      <c r="K16" t="s">
        <v>85</v>
      </c>
      <c r="L16">
        <v>3038</v>
      </c>
      <c r="M16" t="s">
        <v>219</v>
      </c>
      <c r="R16" t="s">
        <v>294</v>
      </c>
      <c r="S16">
        <v>28</v>
      </c>
      <c r="T16">
        <v>8</v>
      </c>
      <c r="U16">
        <f>S16-T16</f>
        <v>20</v>
      </c>
    </row>
    <row r="17" spans="1:21" x14ac:dyDescent="0.25">
      <c r="A17">
        <v>4</v>
      </c>
      <c r="B17" s="73">
        <v>32</v>
      </c>
      <c r="C17" t="s">
        <v>234</v>
      </c>
      <c r="D17" t="s">
        <v>132</v>
      </c>
      <c r="E17">
        <v>705309508</v>
      </c>
      <c r="F17" s="94">
        <v>44656</v>
      </c>
      <c r="G17" t="s">
        <v>133</v>
      </c>
      <c r="H17" t="s">
        <v>134</v>
      </c>
      <c r="I17" t="s">
        <v>135</v>
      </c>
      <c r="J17" t="s">
        <v>136</v>
      </c>
      <c r="K17" t="s">
        <v>85</v>
      </c>
      <c r="L17">
        <v>622</v>
      </c>
      <c r="M17" t="s">
        <v>134</v>
      </c>
      <c r="R17" t="s">
        <v>137</v>
      </c>
      <c r="S17">
        <v>30</v>
      </c>
      <c r="T17">
        <v>15</v>
      </c>
      <c r="U17">
        <f>S17-T17</f>
        <v>15</v>
      </c>
    </row>
    <row r="18" spans="1:21" x14ac:dyDescent="0.25">
      <c r="A18">
        <v>5</v>
      </c>
      <c r="B18" s="73">
        <v>33</v>
      </c>
      <c r="C18" t="s">
        <v>240</v>
      </c>
      <c r="D18" t="s">
        <v>139</v>
      </c>
      <c r="E18">
        <v>703601385</v>
      </c>
      <c r="F18" s="94">
        <v>44649</v>
      </c>
      <c r="G18" t="s">
        <v>140</v>
      </c>
      <c r="H18" t="s">
        <v>141</v>
      </c>
      <c r="I18" t="s">
        <v>142</v>
      </c>
      <c r="J18" t="s">
        <v>143</v>
      </c>
      <c r="K18" t="s">
        <v>85</v>
      </c>
      <c r="L18">
        <v>901</v>
      </c>
      <c r="M18" t="s">
        <v>141</v>
      </c>
      <c r="R18" t="s">
        <v>144</v>
      </c>
      <c r="S18">
        <v>32</v>
      </c>
      <c r="T18">
        <v>32</v>
      </c>
      <c r="U18">
        <f>S18-T18</f>
        <v>0</v>
      </c>
    </row>
    <row r="19" spans="1:21" x14ac:dyDescent="0.25">
      <c r="A19">
        <v>6</v>
      </c>
      <c r="B19" s="73">
        <v>34</v>
      </c>
      <c r="C19" t="s">
        <v>247</v>
      </c>
      <c r="D19" t="s">
        <v>147</v>
      </c>
      <c r="E19">
        <v>702650706</v>
      </c>
      <c r="F19" t="s">
        <v>123</v>
      </c>
      <c r="G19" t="s">
        <v>148</v>
      </c>
      <c r="H19" t="s">
        <v>134</v>
      </c>
      <c r="I19" t="s">
        <v>149</v>
      </c>
      <c r="J19" t="s">
        <v>150</v>
      </c>
      <c r="K19" t="s">
        <v>85</v>
      </c>
      <c r="L19">
        <v>1212</v>
      </c>
      <c r="M19" t="s">
        <v>134</v>
      </c>
      <c r="R19" t="s">
        <v>151</v>
      </c>
      <c r="S19">
        <v>30</v>
      </c>
      <c r="T19">
        <v>15</v>
      </c>
      <c r="U19">
        <f>S19-T19</f>
        <v>15</v>
      </c>
    </row>
    <row r="20" spans="1:21" x14ac:dyDescent="0.25">
      <c r="A20" s="68">
        <v>2</v>
      </c>
      <c r="B20" s="95">
        <v>35</v>
      </c>
      <c r="C20" s="68" t="s">
        <v>223</v>
      </c>
      <c r="D20" t="s">
        <v>153</v>
      </c>
      <c r="E20">
        <v>703859363</v>
      </c>
      <c r="F20" s="94">
        <v>44655</v>
      </c>
      <c r="G20" t="s">
        <v>154</v>
      </c>
      <c r="H20" t="s">
        <v>155</v>
      </c>
      <c r="I20" t="s">
        <v>155</v>
      </c>
      <c r="J20" t="s">
        <v>156</v>
      </c>
      <c r="K20" t="s">
        <v>85</v>
      </c>
      <c r="L20">
        <v>733</v>
      </c>
      <c r="M20" t="s">
        <v>155</v>
      </c>
      <c r="R20" t="s">
        <v>157</v>
      </c>
      <c r="S20">
        <v>30</v>
      </c>
      <c r="T20">
        <v>17</v>
      </c>
      <c r="U20">
        <f>S20-T20</f>
        <v>13</v>
      </c>
    </row>
    <row r="21" spans="1:21" x14ac:dyDescent="0.25">
      <c r="A21">
        <v>7</v>
      </c>
      <c r="B21" s="73">
        <v>35</v>
      </c>
      <c r="C21" t="s">
        <v>253</v>
      </c>
      <c r="D21" t="s">
        <v>159</v>
      </c>
      <c r="E21">
        <v>703250456</v>
      </c>
      <c r="F21" s="94">
        <v>44652</v>
      </c>
      <c r="G21" t="s">
        <v>160</v>
      </c>
      <c r="H21" t="s">
        <v>134</v>
      </c>
      <c r="I21" t="s">
        <v>161</v>
      </c>
      <c r="J21" t="s">
        <v>162</v>
      </c>
      <c r="K21" t="s">
        <v>85</v>
      </c>
      <c r="L21">
        <v>622</v>
      </c>
      <c r="M21" t="s">
        <v>134</v>
      </c>
      <c r="R21" t="s">
        <v>163</v>
      </c>
      <c r="S21">
        <v>30</v>
      </c>
      <c r="T21">
        <v>17</v>
      </c>
      <c r="U21">
        <f>S21-T21</f>
        <v>13</v>
      </c>
    </row>
    <row r="22" spans="1:21" x14ac:dyDescent="0.25">
      <c r="A22">
        <v>8</v>
      </c>
      <c r="B22" s="73">
        <v>36</v>
      </c>
      <c r="C22" t="s">
        <v>261</v>
      </c>
      <c r="D22" t="s">
        <v>165</v>
      </c>
      <c r="E22">
        <v>704678945</v>
      </c>
      <c r="F22" s="94">
        <v>44700</v>
      </c>
      <c r="G22" t="s">
        <v>166</v>
      </c>
      <c r="H22" t="s">
        <v>125</v>
      </c>
      <c r="I22" t="s">
        <v>167</v>
      </c>
      <c r="J22" t="s">
        <v>168</v>
      </c>
      <c r="K22" t="s">
        <v>85</v>
      </c>
      <c r="L22">
        <v>901</v>
      </c>
      <c r="M22" t="s">
        <v>125</v>
      </c>
      <c r="R22" t="s">
        <v>169</v>
      </c>
      <c r="S22">
        <v>25</v>
      </c>
      <c r="T22">
        <v>25</v>
      </c>
      <c r="U22">
        <f>S22-T22</f>
        <v>0</v>
      </c>
    </row>
    <row r="23" spans="1:21" x14ac:dyDescent="0.25">
      <c r="A23">
        <v>9</v>
      </c>
      <c r="B23" s="73">
        <v>37</v>
      </c>
      <c r="C23" t="s">
        <v>266</v>
      </c>
      <c r="D23" t="s">
        <v>171</v>
      </c>
      <c r="E23">
        <v>702914276</v>
      </c>
      <c r="F23" s="94">
        <v>44662</v>
      </c>
      <c r="G23" t="s">
        <v>172</v>
      </c>
      <c r="H23" t="s">
        <v>134</v>
      </c>
      <c r="I23" t="s">
        <v>149</v>
      </c>
      <c r="J23" t="s">
        <v>173</v>
      </c>
      <c r="K23" t="s">
        <v>85</v>
      </c>
      <c r="L23">
        <v>986</v>
      </c>
      <c r="M23" t="s">
        <v>134</v>
      </c>
      <c r="R23" t="s">
        <v>151</v>
      </c>
      <c r="S23">
        <v>30</v>
      </c>
      <c r="T23">
        <v>15</v>
      </c>
      <c r="U23">
        <f>S23-T23</f>
        <v>15</v>
      </c>
    </row>
    <row r="24" spans="1:21" x14ac:dyDescent="0.25">
      <c r="A24">
        <v>10</v>
      </c>
      <c r="B24" s="73">
        <v>38</v>
      </c>
      <c r="C24" t="s">
        <v>273</v>
      </c>
      <c r="D24" t="s">
        <v>175</v>
      </c>
      <c r="E24">
        <v>705901288</v>
      </c>
      <c r="F24" s="94">
        <v>44669</v>
      </c>
      <c r="G24" t="s">
        <v>176</v>
      </c>
      <c r="H24" t="s">
        <v>134</v>
      </c>
      <c r="I24" t="s">
        <v>135</v>
      </c>
      <c r="J24" t="s">
        <v>177</v>
      </c>
      <c r="K24" t="s">
        <v>85</v>
      </c>
      <c r="L24">
        <v>464.29</v>
      </c>
      <c r="M24" t="s">
        <v>134</v>
      </c>
      <c r="R24" t="s">
        <v>137</v>
      </c>
      <c r="S24">
        <v>14</v>
      </c>
      <c r="T24">
        <v>14</v>
      </c>
      <c r="U24">
        <f>S24-T24</f>
        <v>0</v>
      </c>
    </row>
    <row r="25" spans="1:21" x14ac:dyDescent="0.25">
      <c r="A25">
        <v>11</v>
      </c>
      <c r="B25" s="73">
        <v>39</v>
      </c>
      <c r="C25" t="s">
        <v>279</v>
      </c>
      <c r="D25" t="s">
        <v>122</v>
      </c>
      <c r="E25">
        <v>704085158</v>
      </c>
      <c r="F25" s="94">
        <v>44655</v>
      </c>
      <c r="G25" t="s">
        <v>178</v>
      </c>
      <c r="H25" t="s">
        <v>118</v>
      </c>
      <c r="I25" t="s">
        <v>119</v>
      </c>
      <c r="J25" t="s">
        <v>124</v>
      </c>
      <c r="K25" t="s">
        <v>85</v>
      </c>
      <c r="L25">
        <v>1676</v>
      </c>
      <c r="M25" t="s">
        <v>118</v>
      </c>
      <c r="R25" t="s">
        <v>120</v>
      </c>
      <c r="S25">
        <v>30</v>
      </c>
      <c r="T25">
        <v>15</v>
      </c>
      <c r="U25">
        <f>S25-T25</f>
        <v>15</v>
      </c>
    </row>
    <row r="26" spans="1:21" x14ac:dyDescent="0.25">
      <c r="A26">
        <v>12</v>
      </c>
      <c r="B26" s="73">
        <v>40</v>
      </c>
      <c r="C26" t="s">
        <v>282</v>
      </c>
      <c r="D26" t="s">
        <v>180</v>
      </c>
      <c r="E26">
        <v>705210946</v>
      </c>
      <c r="F26" s="94">
        <v>44684</v>
      </c>
      <c r="G26" t="s">
        <v>181</v>
      </c>
      <c r="H26" t="s">
        <v>182</v>
      </c>
      <c r="I26" t="s">
        <v>183</v>
      </c>
      <c r="J26" t="s">
        <v>184</v>
      </c>
      <c r="K26" t="s">
        <v>85</v>
      </c>
      <c r="L26">
        <v>901</v>
      </c>
      <c r="M26" t="s">
        <v>185</v>
      </c>
      <c r="R26" t="s">
        <v>186</v>
      </c>
      <c r="S26">
        <v>30</v>
      </c>
      <c r="T26">
        <v>11</v>
      </c>
      <c r="U26">
        <f>S26-T26</f>
        <v>19</v>
      </c>
    </row>
    <row r="27" spans="1:21" x14ac:dyDescent="0.25">
      <c r="A27">
        <v>13</v>
      </c>
      <c r="B27" s="73">
        <v>41</v>
      </c>
      <c r="C27" t="s">
        <v>287</v>
      </c>
      <c r="D27" t="s">
        <v>188</v>
      </c>
      <c r="E27">
        <v>704707660</v>
      </c>
      <c r="F27" s="94">
        <v>44596</v>
      </c>
      <c r="G27" t="s">
        <v>193</v>
      </c>
      <c r="H27" t="s">
        <v>185</v>
      </c>
      <c r="I27" t="s">
        <v>190</v>
      </c>
      <c r="J27" t="s">
        <v>189</v>
      </c>
      <c r="K27" t="s">
        <v>85</v>
      </c>
      <c r="L27">
        <v>817</v>
      </c>
      <c r="M27" t="s">
        <v>191</v>
      </c>
      <c r="R27" t="s">
        <v>192</v>
      </c>
      <c r="S27">
        <v>30</v>
      </c>
      <c r="T27">
        <v>12</v>
      </c>
      <c r="U27">
        <f>S27-T27</f>
        <v>18</v>
      </c>
    </row>
    <row r="28" spans="1:21" x14ac:dyDescent="0.25">
      <c r="A28">
        <v>14</v>
      </c>
      <c r="B28" s="73">
        <v>42</v>
      </c>
      <c r="C28" t="s">
        <v>126</v>
      </c>
      <c r="D28" t="s">
        <v>195</v>
      </c>
      <c r="E28">
        <v>701172637</v>
      </c>
      <c r="F28" s="94">
        <v>44725</v>
      </c>
      <c r="G28" t="s">
        <v>197</v>
      </c>
      <c r="H28" t="s">
        <v>198</v>
      </c>
      <c r="I28" t="s">
        <v>198</v>
      </c>
      <c r="J28" t="s">
        <v>196</v>
      </c>
      <c r="K28" t="s">
        <v>85</v>
      </c>
      <c r="L28">
        <v>675</v>
      </c>
      <c r="M28" t="s">
        <v>198</v>
      </c>
      <c r="R28" t="s">
        <v>199</v>
      </c>
      <c r="S28">
        <v>26</v>
      </c>
      <c r="T28">
        <v>11</v>
      </c>
      <c r="U28">
        <f>S28-T28</f>
        <v>15</v>
      </c>
    </row>
    <row r="29" spans="1:21" x14ac:dyDescent="0.25">
      <c r="A29">
        <v>15</v>
      </c>
      <c r="B29" s="73">
        <v>43</v>
      </c>
      <c r="C29" t="s">
        <v>290</v>
      </c>
      <c r="D29" t="s">
        <v>204</v>
      </c>
      <c r="E29">
        <v>702095001</v>
      </c>
      <c r="F29" s="94">
        <v>44690</v>
      </c>
      <c r="G29" t="s">
        <v>205</v>
      </c>
      <c r="H29" t="s">
        <v>202</v>
      </c>
      <c r="I29" t="s">
        <v>202</v>
      </c>
      <c r="J29" t="s">
        <v>201</v>
      </c>
      <c r="K29" t="s">
        <v>85</v>
      </c>
      <c r="L29">
        <v>2115</v>
      </c>
      <c r="M29" t="s">
        <v>202</v>
      </c>
      <c r="R29" t="s">
        <v>203</v>
      </c>
      <c r="S29">
        <v>30</v>
      </c>
      <c r="T29">
        <v>18</v>
      </c>
      <c r="U29">
        <f>S29-T29</f>
        <v>12</v>
      </c>
    </row>
    <row r="30" spans="1:21" x14ac:dyDescent="0.25">
      <c r="A30">
        <v>16</v>
      </c>
      <c r="B30" s="73">
        <v>44</v>
      </c>
      <c r="C30" t="s">
        <v>131</v>
      </c>
      <c r="D30" t="s">
        <v>207</v>
      </c>
      <c r="E30">
        <v>800444713</v>
      </c>
      <c r="F30" s="94">
        <v>44680</v>
      </c>
      <c r="G30" t="s">
        <v>208</v>
      </c>
      <c r="H30" t="s">
        <v>210</v>
      </c>
      <c r="I30" t="s">
        <v>210</v>
      </c>
      <c r="J30" t="s">
        <v>209</v>
      </c>
      <c r="K30" t="s">
        <v>85</v>
      </c>
      <c r="L30">
        <v>817</v>
      </c>
      <c r="M30" t="s">
        <v>209</v>
      </c>
      <c r="R30" t="s">
        <v>211</v>
      </c>
      <c r="S30">
        <v>27</v>
      </c>
      <c r="T30">
        <v>15</v>
      </c>
      <c r="U30">
        <f>S30-T30</f>
        <v>12</v>
      </c>
    </row>
    <row r="31" spans="1:21" x14ac:dyDescent="0.25">
      <c r="A31">
        <v>17</v>
      </c>
      <c r="B31" s="73">
        <v>45</v>
      </c>
      <c r="C31" t="s">
        <v>138</v>
      </c>
      <c r="D31" t="s">
        <v>213</v>
      </c>
      <c r="E31">
        <v>706421724</v>
      </c>
      <c r="F31" s="94">
        <v>44687</v>
      </c>
      <c r="G31" t="s">
        <v>214</v>
      </c>
      <c r="H31" t="s">
        <v>134</v>
      </c>
      <c r="I31" t="s">
        <v>134</v>
      </c>
      <c r="J31" t="s">
        <v>215</v>
      </c>
      <c r="K31" t="s">
        <v>85</v>
      </c>
      <c r="L31">
        <v>464.29</v>
      </c>
      <c r="M31" t="s">
        <v>134</v>
      </c>
      <c r="R31" t="s">
        <v>137</v>
      </c>
      <c r="S31">
        <v>30</v>
      </c>
      <c r="T31">
        <v>14</v>
      </c>
      <c r="U31">
        <f>S31-T31</f>
        <v>16</v>
      </c>
    </row>
    <row r="32" spans="1:21" x14ac:dyDescent="0.25">
      <c r="A32">
        <v>18</v>
      </c>
      <c r="B32" s="73">
        <v>46</v>
      </c>
      <c r="C32" t="s">
        <v>146</v>
      </c>
      <c r="D32" t="s">
        <v>217</v>
      </c>
      <c r="E32">
        <v>702220781</v>
      </c>
      <c r="F32" s="94">
        <v>44679</v>
      </c>
      <c r="G32" t="s">
        <v>222</v>
      </c>
      <c r="H32" t="s">
        <v>219</v>
      </c>
      <c r="I32" t="s">
        <v>220</v>
      </c>
      <c r="J32" t="s">
        <v>218</v>
      </c>
      <c r="K32" t="s">
        <v>85</v>
      </c>
      <c r="L32">
        <v>733</v>
      </c>
      <c r="M32" t="s">
        <v>219</v>
      </c>
      <c r="R32" t="s">
        <v>221</v>
      </c>
      <c r="S32">
        <v>30</v>
      </c>
      <c r="T32">
        <v>19</v>
      </c>
      <c r="U32">
        <f>S32-T32</f>
        <v>11</v>
      </c>
    </row>
    <row r="33" spans="1:22" x14ac:dyDescent="0.25">
      <c r="A33">
        <v>20</v>
      </c>
      <c r="B33" s="73">
        <v>47</v>
      </c>
      <c r="C33" t="s">
        <v>295</v>
      </c>
      <c r="D33" t="s">
        <v>296</v>
      </c>
      <c r="E33">
        <v>704918838</v>
      </c>
      <c r="F33" s="94">
        <v>44725</v>
      </c>
      <c r="G33" t="s">
        <v>297</v>
      </c>
      <c r="H33" t="s">
        <v>134</v>
      </c>
      <c r="I33" t="s">
        <v>237</v>
      </c>
      <c r="J33" t="s">
        <v>298</v>
      </c>
      <c r="K33" t="s">
        <v>85</v>
      </c>
      <c r="L33">
        <v>817</v>
      </c>
      <c r="M33" t="s">
        <v>134</v>
      </c>
      <c r="R33" t="s">
        <v>239</v>
      </c>
      <c r="S33">
        <v>29</v>
      </c>
      <c r="T33">
        <v>7</v>
      </c>
      <c r="U33">
        <f>S33-T33</f>
        <v>22</v>
      </c>
    </row>
    <row r="34" spans="1:22" x14ac:dyDescent="0.25">
      <c r="A34">
        <v>33</v>
      </c>
      <c r="B34" s="73">
        <v>48</v>
      </c>
      <c r="C34" t="s">
        <v>299</v>
      </c>
      <c r="D34" t="s">
        <v>300</v>
      </c>
      <c r="E34">
        <v>940651920</v>
      </c>
      <c r="F34" s="94">
        <v>44725</v>
      </c>
      <c r="G34" t="s">
        <v>301</v>
      </c>
      <c r="H34" t="s">
        <v>134</v>
      </c>
      <c r="I34" t="s">
        <v>286</v>
      </c>
      <c r="J34" t="s">
        <v>177</v>
      </c>
      <c r="K34" t="s">
        <v>85</v>
      </c>
      <c r="L34">
        <v>464.29</v>
      </c>
      <c r="M34" t="s">
        <v>134</v>
      </c>
      <c r="R34" t="s">
        <v>285</v>
      </c>
      <c r="S34">
        <v>30</v>
      </c>
      <c r="T34">
        <v>21</v>
      </c>
      <c r="U34">
        <f>S34-T34</f>
        <v>9</v>
      </c>
    </row>
    <row r="35" spans="1:22" x14ac:dyDescent="0.25">
      <c r="A35">
        <v>34</v>
      </c>
      <c r="B35" s="73">
        <v>49</v>
      </c>
      <c r="C35" t="s">
        <v>302</v>
      </c>
      <c r="D35" t="s">
        <v>303</v>
      </c>
      <c r="E35">
        <v>704048685</v>
      </c>
      <c r="F35" s="94">
        <v>44669</v>
      </c>
      <c r="G35" t="s">
        <v>304</v>
      </c>
      <c r="H35" t="s">
        <v>134</v>
      </c>
      <c r="I35" t="s">
        <v>149</v>
      </c>
      <c r="J35" t="s">
        <v>305</v>
      </c>
      <c r="K35" t="s">
        <v>85</v>
      </c>
      <c r="L35">
        <v>1412</v>
      </c>
      <c r="M35" t="s">
        <v>134</v>
      </c>
      <c r="R35" t="s">
        <v>151</v>
      </c>
      <c r="S35">
        <v>29</v>
      </c>
      <c r="T35">
        <v>14</v>
      </c>
      <c r="U35">
        <f>S35-T35</f>
        <v>15</v>
      </c>
    </row>
    <row r="36" spans="1:22" x14ac:dyDescent="0.25">
      <c r="A36">
        <v>35</v>
      </c>
      <c r="B36" s="73">
        <v>50</v>
      </c>
      <c r="C36" t="s">
        <v>306</v>
      </c>
      <c r="D36" t="s">
        <v>307</v>
      </c>
      <c r="E36">
        <v>705199610</v>
      </c>
      <c r="F36" s="94">
        <v>44725</v>
      </c>
      <c r="G36" t="s">
        <v>308</v>
      </c>
      <c r="H36" t="s">
        <v>271</v>
      </c>
      <c r="I36" t="s">
        <v>270</v>
      </c>
      <c r="J36" t="s">
        <v>269</v>
      </c>
      <c r="K36" t="s">
        <v>85</v>
      </c>
      <c r="L36">
        <v>1212</v>
      </c>
      <c r="M36" t="s">
        <v>271</v>
      </c>
      <c r="R36" t="s">
        <v>268</v>
      </c>
      <c r="S36">
        <v>14</v>
      </c>
      <c r="T36">
        <v>15</v>
      </c>
      <c r="U36">
        <f>S36-T36</f>
        <v>-1</v>
      </c>
    </row>
    <row r="37" spans="1:22" x14ac:dyDescent="0.25">
      <c r="A37">
        <v>36</v>
      </c>
      <c r="B37" s="73">
        <v>51</v>
      </c>
      <c r="C37" t="s">
        <v>309</v>
      </c>
      <c r="D37" t="s">
        <v>310</v>
      </c>
      <c r="E37">
        <v>701412793</v>
      </c>
      <c r="F37" s="94">
        <v>44728</v>
      </c>
      <c r="G37" t="s">
        <v>311</v>
      </c>
      <c r="H37" t="s">
        <v>134</v>
      </c>
      <c r="I37" t="s">
        <v>312</v>
      </c>
      <c r="J37" t="s">
        <v>313</v>
      </c>
      <c r="K37" t="s">
        <v>85</v>
      </c>
      <c r="L37">
        <v>488</v>
      </c>
      <c r="M37" t="s">
        <v>134</v>
      </c>
      <c r="R37" t="s">
        <v>314</v>
      </c>
      <c r="S37">
        <v>19</v>
      </c>
      <c r="T37">
        <v>15</v>
      </c>
      <c r="U37">
        <f>S37-T37</f>
        <v>4</v>
      </c>
    </row>
    <row r="38" spans="1:22" x14ac:dyDescent="0.25">
      <c r="A38">
        <v>37</v>
      </c>
      <c r="B38" s="73">
        <v>52</v>
      </c>
      <c r="C38" t="s">
        <v>316</v>
      </c>
      <c r="D38" t="s">
        <v>315</v>
      </c>
      <c r="E38">
        <v>706421724</v>
      </c>
      <c r="F38" s="94">
        <v>44732</v>
      </c>
      <c r="G38" t="s">
        <v>317</v>
      </c>
      <c r="H38" t="s">
        <v>134</v>
      </c>
      <c r="I38" t="s">
        <v>135</v>
      </c>
      <c r="J38" t="s">
        <v>215</v>
      </c>
      <c r="K38" t="s">
        <v>85</v>
      </c>
      <c r="L38">
        <v>464.29</v>
      </c>
      <c r="M38" t="s">
        <v>134</v>
      </c>
      <c r="R38" t="s">
        <v>137</v>
      </c>
      <c r="S38">
        <v>16</v>
      </c>
      <c r="T38">
        <v>9</v>
      </c>
      <c r="U38">
        <f>S38-T38</f>
        <v>7</v>
      </c>
    </row>
    <row r="39" spans="1:22" x14ac:dyDescent="0.25">
      <c r="A39">
        <v>52</v>
      </c>
      <c r="B39" s="73">
        <v>52</v>
      </c>
      <c r="C39" t="s">
        <v>371</v>
      </c>
      <c r="D39" t="s">
        <v>377</v>
      </c>
      <c r="E39">
        <v>702003682</v>
      </c>
      <c r="F39" s="94">
        <v>44784</v>
      </c>
      <c r="G39" t="s">
        <v>530</v>
      </c>
      <c r="H39" t="s">
        <v>198</v>
      </c>
      <c r="I39" t="s">
        <v>198</v>
      </c>
      <c r="J39" t="s">
        <v>372</v>
      </c>
      <c r="K39" t="s">
        <v>85</v>
      </c>
      <c r="L39">
        <v>5510</v>
      </c>
      <c r="M39" t="s">
        <v>198</v>
      </c>
      <c r="R39" t="s">
        <v>199</v>
      </c>
      <c r="S39">
        <v>48</v>
      </c>
      <c r="T39">
        <v>15</v>
      </c>
      <c r="U39">
        <f>S39-T39</f>
        <v>33</v>
      </c>
      <c r="V39" t="s">
        <v>382</v>
      </c>
    </row>
    <row r="40" spans="1:22" x14ac:dyDescent="0.25">
      <c r="A40">
        <v>38</v>
      </c>
      <c r="B40" s="73">
        <v>53</v>
      </c>
      <c r="C40" t="s">
        <v>318</v>
      </c>
      <c r="D40" t="s">
        <v>319</v>
      </c>
      <c r="E40">
        <v>702978313</v>
      </c>
      <c r="F40" s="94">
        <v>44740</v>
      </c>
      <c r="G40" t="s">
        <v>320</v>
      </c>
      <c r="H40" t="s">
        <v>256</v>
      </c>
      <c r="I40" t="s">
        <v>321</v>
      </c>
      <c r="J40" t="s">
        <v>322</v>
      </c>
      <c r="K40" t="s">
        <v>85</v>
      </c>
      <c r="L40">
        <v>901</v>
      </c>
      <c r="M40" t="s">
        <v>256</v>
      </c>
      <c r="R40" t="s">
        <v>323</v>
      </c>
      <c r="S40">
        <v>28</v>
      </c>
      <c r="T40">
        <v>15</v>
      </c>
      <c r="U40">
        <f>S40-T40</f>
        <v>13</v>
      </c>
    </row>
    <row r="41" spans="1:22" x14ac:dyDescent="0.25">
      <c r="A41">
        <v>53</v>
      </c>
      <c r="B41" s="73">
        <v>53</v>
      </c>
      <c r="C41" t="s">
        <v>383</v>
      </c>
      <c r="D41" t="s">
        <v>384</v>
      </c>
      <c r="E41">
        <v>7058647374</v>
      </c>
      <c r="F41" s="94">
        <v>44819</v>
      </c>
      <c r="G41" t="s">
        <v>385</v>
      </c>
      <c r="H41" t="s">
        <v>134</v>
      </c>
      <c r="I41" t="s">
        <v>149</v>
      </c>
      <c r="J41" t="s">
        <v>330</v>
      </c>
      <c r="K41" t="s">
        <v>85</v>
      </c>
      <c r="L41">
        <v>1412</v>
      </c>
      <c r="M41" t="s">
        <v>134</v>
      </c>
      <c r="R41" t="s">
        <v>151</v>
      </c>
      <c r="S41">
        <v>30</v>
      </c>
      <c r="T41">
        <v>16</v>
      </c>
      <c r="U41">
        <f>S41-T41</f>
        <v>14</v>
      </c>
      <c r="V41" t="s">
        <v>386</v>
      </c>
    </row>
    <row r="42" spans="1:22" x14ac:dyDescent="0.25">
      <c r="A42">
        <v>39</v>
      </c>
      <c r="B42" s="73">
        <v>54</v>
      </c>
      <c r="C42" t="s">
        <v>324</v>
      </c>
      <c r="D42" t="s">
        <v>325</v>
      </c>
      <c r="E42">
        <v>702163759</v>
      </c>
      <c r="F42" s="94">
        <v>44746</v>
      </c>
      <c r="G42" t="s">
        <v>331</v>
      </c>
      <c r="H42" t="s">
        <v>256</v>
      </c>
      <c r="I42" t="s">
        <v>257</v>
      </c>
      <c r="J42" t="s">
        <v>326</v>
      </c>
      <c r="K42" t="s">
        <v>85</v>
      </c>
      <c r="L42">
        <v>1086</v>
      </c>
      <c r="M42" t="s">
        <v>256</v>
      </c>
      <c r="R42" t="s">
        <v>259</v>
      </c>
      <c r="S42">
        <v>18</v>
      </c>
      <c r="T42">
        <v>8</v>
      </c>
      <c r="U42">
        <f>S42-T42</f>
        <v>10</v>
      </c>
    </row>
    <row r="43" spans="1:22" x14ac:dyDescent="0.25">
      <c r="A43">
        <v>54</v>
      </c>
      <c r="B43" s="73">
        <v>54</v>
      </c>
      <c r="C43" t="s">
        <v>371</v>
      </c>
      <c r="D43" t="s">
        <v>377</v>
      </c>
      <c r="E43">
        <v>702003682</v>
      </c>
      <c r="F43" s="94">
        <v>44816</v>
      </c>
      <c r="G43" t="s">
        <v>531</v>
      </c>
      <c r="H43" t="s">
        <v>387</v>
      </c>
      <c r="I43" t="s">
        <v>198</v>
      </c>
      <c r="J43" t="s">
        <v>388</v>
      </c>
      <c r="K43" t="s">
        <v>85</v>
      </c>
      <c r="L43">
        <v>5510</v>
      </c>
      <c r="M43" t="s">
        <v>198</v>
      </c>
      <c r="R43" t="s">
        <v>199</v>
      </c>
      <c r="S43">
        <v>33</v>
      </c>
      <c r="T43">
        <v>15</v>
      </c>
      <c r="U43">
        <f>S43-T43</f>
        <v>18</v>
      </c>
      <c r="V43" t="s">
        <v>532</v>
      </c>
    </row>
    <row r="44" spans="1:22" x14ac:dyDescent="0.25">
      <c r="A44">
        <v>40</v>
      </c>
      <c r="B44" s="73">
        <v>55</v>
      </c>
      <c r="C44" t="s">
        <v>327</v>
      </c>
      <c r="D44" t="s">
        <v>328</v>
      </c>
      <c r="E44">
        <v>101486512</v>
      </c>
      <c r="F44" s="94">
        <v>44746</v>
      </c>
      <c r="G44" t="s">
        <v>329</v>
      </c>
      <c r="H44" t="s">
        <v>134</v>
      </c>
      <c r="I44" t="s">
        <v>149</v>
      </c>
      <c r="J44" t="s">
        <v>330</v>
      </c>
      <c r="K44" t="s">
        <v>85</v>
      </c>
      <c r="L44">
        <v>1412</v>
      </c>
      <c r="M44" t="s">
        <v>134</v>
      </c>
      <c r="R44" t="s">
        <v>151</v>
      </c>
      <c r="S44">
        <v>30</v>
      </c>
      <c r="T44">
        <v>15</v>
      </c>
      <c r="U44">
        <f>S44-T44</f>
        <v>15</v>
      </c>
    </row>
    <row r="45" spans="1:22" x14ac:dyDescent="0.25">
      <c r="A45">
        <v>55</v>
      </c>
      <c r="B45" s="73">
        <v>55</v>
      </c>
      <c r="C45" t="s">
        <v>390</v>
      </c>
      <c r="D45" t="s">
        <v>389</v>
      </c>
      <c r="E45">
        <v>702662339</v>
      </c>
      <c r="F45" s="94">
        <v>44837</v>
      </c>
      <c r="G45" t="s">
        <v>391</v>
      </c>
      <c r="H45" t="s">
        <v>256</v>
      </c>
      <c r="I45" t="s">
        <v>321</v>
      </c>
      <c r="J45" t="s">
        <v>393</v>
      </c>
      <c r="K45" t="s">
        <v>85</v>
      </c>
      <c r="L45">
        <v>901</v>
      </c>
      <c r="M45" t="s">
        <v>256</v>
      </c>
      <c r="R45" t="s">
        <v>392</v>
      </c>
      <c r="S45">
        <v>27</v>
      </c>
      <c r="T45">
        <v>16</v>
      </c>
      <c r="U45">
        <f>S45-T45</f>
        <v>11</v>
      </c>
      <c r="V45" t="s">
        <v>386</v>
      </c>
    </row>
    <row r="46" spans="1:22" x14ac:dyDescent="0.25">
      <c r="A46">
        <v>41</v>
      </c>
      <c r="B46" s="73">
        <v>56</v>
      </c>
      <c r="C46" t="s">
        <v>333</v>
      </c>
      <c r="D46" t="s">
        <v>332</v>
      </c>
      <c r="E46">
        <v>702000951</v>
      </c>
      <c r="F46" s="94">
        <v>44771</v>
      </c>
      <c r="G46" t="s">
        <v>334</v>
      </c>
      <c r="H46" t="s">
        <v>243</v>
      </c>
      <c r="I46" t="s">
        <v>335</v>
      </c>
      <c r="J46" t="s">
        <v>60</v>
      </c>
      <c r="K46" t="s">
        <v>85</v>
      </c>
      <c r="L46">
        <v>901</v>
      </c>
      <c r="M46" t="s">
        <v>243</v>
      </c>
      <c r="R46" t="s">
        <v>336</v>
      </c>
      <c r="S46">
        <v>23</v>
      </c>
      <c r="T46">
        <v>9</v>
      </c>
      <c r="U46">
        <f>S46-T46</f>
        <v>14</v>
      </c>
    </row>
    <row r="47" spans="1:22" x14ac:dyDescent="0.25">
      <c r="A47">
        <v>56</v>
      </c>
      <c r="B47" s="73">
        <v>56</v>
      </c>
      <c r="C47" t="s">
        <v>394</v>
      </c>
      <c r="D47" t="s">
        <v>395</v>
      </c>
      <c r="E47">
        <v>705079960</v>
      </c>
      <c r="F47" s="94">
        <v>44811</v>
      </c>
      <c r="G47" t="s">
        <v>396</v>
      </c>
      <c r="H47" t="s">
        <v>191</v>
      </c>
      <c r="I47" t="s">
        <v>190</v>
      </c>
      <c r="J47" t="s">
        <v>184</v>
      </c>
      <c r="K47" t="s">
        <v>85</v>
      </c>
      <c r="L47">
        <v>901</v>
      </c>
      <c r="M47" t="s">
        <v>191</v>
      </c>
      <c r="R47" t="s">
        <v>186</v>
      </c>
      <c r="S47">
        <v>18</v>
      </c>
      <c r="T47">
        <v>10</v>
      </c>
      <c r="U47">
        <f>S47-T47</f>
        <v>8</v>
      </c>
      <c r="V47" t="s">
        <v>397</v>
      </c>
    </row>
    <row r="48" spans="1:22" x14ac:dyDescent="0.25">
      <c r="A48">
        <v>42</v>
      </c>
      <c r="B48" s="73">
        <v>57</v>
      </c>
      <c r="C48" t="s">
        <v>339</v>
      </c>
      <c r="D48" t="s">
        <v>340</v>
      </c>
      <c r="E48">
        <v>705712909</v>
      </c>
      <c r="F48" s="94">
        <v>44754</v>
      </c>
      <c r="G48" t="s">
        <v>341</v>
      </c>
      <c r="H48" t="s">
        <v>118</v>
      </c>
      <c r="I48" t="s">
        <v>128</v>
      </c>
      <c r="J48" t="s">
        <v>337</v>
      </c>
      <c r="K48" t="s">
        <v>85</v>
      </c>
      <c r="L48">
        <v>622</v>
      </c>
      <c r="M48" t="s">
        <v>118</v>
      </c>
      <c r="R48" t="s">
        <v>338</v>
      </c>
      <c r="S48">
        <v>30</v>
      </c>
      <c r="T48">
        <v>15</v>
      </c>
      <c r="U48">
        <f>S48-T48</f>
        <v>15</v>
      </c>
    </row>
    <row r="49" spans="1:22" x14ac:dyDescent="0.25">
      <c r="A49">
        <v>57</v>
      </c>
      <c r="B49" s="73">
        <v>57</v>
      </c>
      <c r="C49" t="s">
        <v>398</v>
      </c>
      <c r="D49" t="s">
        <v>399</v>
      </c>
      <c r="E49">
        <v>701081754</v>
      </c>
      <c r="F49" s="94">
        <v>44810</v>
      </c>
      <c r="G49" t="s">
        <v>400</v>
      </c>
      <c r="H49" t="s">
        <v>352</v>
      </c>
      <c r="I49" t="s">
        <v>352</v>
      </c>
      <c r="J49" t="s">
        <v>401</v>
      </c>
      <c r="K49" t="s">
        <v>85</v>
      </c>
      <c r="L49">
        <v>588.73</v>
      </c>
      <c r="M49" t="s">
        <v>352</v>
      </c>
      <c r="R49" t="s">
        <v>402</v>
      </c>
      <c r="S49">
        <v>30</v>
      </c>
      <c r="T49">
        <v>15</v>
      </c>
      <c r="U49">
        <f>S49-T49</f>
        <v>15</v>
      </c>
      <c r="V49" t="s">
        <v>386</v>
      </c>
    </row>
    <row r="50" spans="1:22" x14ac:dyDescent="0.25">
      <c r="A50">
        <v>43</v>
      </c>
      <c r="B50" s="73">
        <v>58</v>
      </c>
      <c r="C50" t="s">
        <v>342</v>
      </c>
      <c r="D50" t="s">
        <v>343</v>
      </c>
      <c r="E50">
        <v>705847929</v>
      </c>
      <c r="F50" s="94">
        <v>44753</v>
      </c>
      <c r="G50" t="s">
        <v>344</v>
      </c>
      <c r="H50" t="s">
        <v>243</v>
      </c>
      <c r="I50" t="s">
        <v>243</v>
      </c>
      <c r="J50" t="s">
        <v>277</v>
      </c>
      <c r="K50" t="s">
        <v>85</v>
      </c>
      <c r="L50">
        <v>733</v>
      </c>
      <c r="M50" t="s">
        <v>243</v>
      </c>
      <c r="R50" t="s">
        <v>345</v>
      </c>
      <c r="S50">
        <v>19</v>
      </c>
      <c r="T50">
        <v>12</v>
      </c>
      <c r="U50">
        <f>S50-T50</f>
        <v>7</v>
      </c>
    </row>
    <row r="51" spans="1:22" x14ac:dyDescent="0.25">
      <c r="A51">
        <v>58</v>
      </c>
      <c r="B51" s="73">
        <v>58</v>
      </c>
      <c r="C51" t="s">
        <v>403</v>
      </c>
      <c r="D51" t="s">
        <v>404</v>
      </c>
      <c r="E51">
        <v>703722959</v>
      </c>
      <c r="F51" s="94">
        <v>44813</v>
      </c>
      <c r="G51" t="s">
        <v>405</v>
      </c>
      <c r="H51" t="s">
        <v>256</v>
      </c>
      <c r="I51" t="s">
        <v>407</v>
      </c>
      <c r="J51" t="s">
        <v>406</v>
      </c>
      <c r="K51" t="s">
        <v>85</v>
      </c>
      <c r="L51">
        <v>901</v>
      </c>
      <c r="M51" t="s">
        <v>256</v>
      </c>
      <c r="R51" t="s">
        <v>392</v>
      </c>
      <c r="S51">
        <v>15</v>
      </c>
      <c r="T51">
        <v>10</v>
      </c>
      <c r="U51">
        <f>S51-T51</f>
        <v>5</v>
      </c>
      <c r="V51" t="s">
        <v>386</v>
      </c>
    </row>
    <row r="52" spans="1:22" x14ac:dyDescent="0.25">
      <c r="A52">
        <v>44</v>
      </c>
      <c r="B52" s="73">
        <v>59</v>
      </c>
      <c r="C52" t="s">
        <v>212</v>
      </c>
      <c r="D52" t="s">
        <v>346</v>
      </c>
      <c r="E52">
        <v>706421724</v>
      </c>
      <c r="F52" s="94">
        <v>44756</v>
      </c>
      <c r="G52" t="s">
        <v>347</v>
      </c>
      <c r="H52" t="s">
        <v>134</v>
      </c>
      <c r="I52" t="s">
        <v>134</v>
      </c>
      <c r="J52" t="s">
        <v>215</v>
      </c>
      <c r="K52" t="s">
        <v>85</v>
      </c>
      <c r="L52">
        <v>464.29</v>
      </c>
      <c r="M52" t="s">
        <v>134</v>
      </c>
      <c r="R52" t="s">
        <v>137</v>
      </c>
      <c r="S52">
        <v>5</v>
      </c>
      <c r="T52">
        <v>9</v>
      </c>
      <c r="U52">
        <f>S52-T52</f>
        <v>-4</v>
      </c>
    </row>
    <row r="53" spans="1:22" x14ac:dyDescent="0.25">
      <c r="A53">
        <v>59</v>
      </c>
      <c r="B53" s="73">
        <v>59</v>
      </c>
      <c r="C53" t="s">
        <v>408</v>
      </c>
      <c r="D53" t="s">
        <v>409</v>
      </c>
      <c r="E53">
        <v>704528215</v>
      </c>
      <c r="F53" s="94">
        <v>44805</v>
      </c>
      <c r="G53" t="s">
        <v>475</v>
      </c>
      <c r="H53" t="s">
        <v>141</v>
      </c>
      <c r="I53" t="s">
        <v>142</v>
      </c>
      <c r="J53" t="s">
        <v>410</v>
      </c>
      <c r="K53" t="s">
        <v>85</v>
      </c>
      <c r="L53">
        <v>1212</v>
      </c>
      <c r="M53" t="s">
        <v>141</v>
      </c>
      <c r="R53" t="s">
        <v>411</v>
      </c>
      <c r="S53">
        <v>12</v>
      </c>
      <c r="T53">
        <v>12</v>
      </c>
      <c r="U53">
        <f>S53-T53</f>
        <v>0</v>
      </c>
      <c r="V53" t="s">
        <v>476</v>
      </c>
    </row>
    <row r="54" spans="1:22" x14ac:dyDescent="0.25">
      <c r="A54">
        <v>45</v>
      </c>
      <c r="B54" s="73">
        <v>60</v>
      </c>
      <c r="C54" t="s">
        <v>348</v>
      </c>
      <c r="D54" t="s">
        <v>349</v>
      </c>
      <c r="E54">
        <v>701209884</v>
      </c>
      <c r="F54" t="s">
        <v>350</v>
      </c>
      <c r="G54" t="s">
        <v>351</v>
      </c>
      <c r="H54" t="s">
        <v>352</v>
      </c>
      <c r="I54" t="s">
        <v>352</v>
      </c>
      <c r="J54" t="s">
        <v>353</v>
      </c>
      <c r="K54" t="s">
        <v>85</v>
      </c>
      <c r="L54">
        <v>1212</v>
      </c>
      <c r="M54" t="s">
        <v>352</v>
      </c>
      <c r="R54" t="s">
        <v>354</v>
      </c>
      <c r="S54">
        <v>27</v>
      </c>
      <c r="T54">
        <v>12</v>
      </c>
      <c r="U54">
        <f>S54-T54</f>
        <v>15</v>
      </c>
    </row>
    <row r="55" spans="1:22" x14ac:dyDescent="0.25">
      <c r="A55">
        <v>60</v>
      </c>
      <c r="B55" s="73">
        <v>60</v>
      </c>
      <c r="C55" t="s">
        <v>412</v>
      </c>
      <c r="D55" t="s">
        <v>413</v>
      </c>
      <c r="E55">
        <v>704541986</v>
      </c>
      <c r="F55" s="94">
        <v>44811</v>
      </c>
      <c r="G55" t="s">
        <v>414</v>
      </c>
      <c r="H55" t="s">
        <v>243</v>
      </c>
      <c r="I55" t="s">
        <v>335</v>
      </c>
      <c r="J55" t="s">
        <v>415</v>
      </c>
      <c r="K55" t="s">
        <v>85</v>
      </c>
      <c r="L55">
        <v>733</v>
      </c>
      <c r="M55" t="s">
        <v>243</v>
      </c>
      <c r="R55" t="s">
        <v>416</v>
      </c>
      <c r="S55">
        <v>30</v>
      </c>
      <c r="U55">
        <f>S55-T55</f>
        <v>30</v>
      </c>
      <c r="V55" t="s">
        <v>386</v>
      </c>
    </row>
    <row r="56" spans="1:22" x14ac:dyDescent="0.25">
      <c r="A56">
        <v>46</v>
      </c>
      <c r="B56" s="73">
        <v>61</v>
      </c>
      <c r="C56" t="s">
        <v>355</v>
      </c>
      <c r="D56" t="s">
        <v>356</v>
      </c>
      <c r="E56">
        <v>703641886</v>
      </c>
      <c r="F56" s="94">
        <v>44760</v>
      </c>
      <c r="G56" t="s">
        <v>357</v>
      </c>
      <c r="H56" t="s">
        <v>358</v>
      </c>
      <c r="I56" t="s">
        <v>359</v>
      </c>
      <c r="J56" t="s">
        <v>360</v>
      </c>
      <c r="K56" t="s">
        <v>85</v>
      </c>
      <c r="L56">
        <v>901</v>
      </c>
      <c r="M56" t="s">
        <v>358</v>
      </c>
      <c r="R56" t="s">
        <v>361</v>
      </c>
      <c r="S56">
        <v>30</v>
      </c>
      <c r="T56">
        <v>10</v>
      </c>
      <c r="U56">
        <f>S56-T56</f>
        <v>20</v>
      </c>
    </row>
    <row r="57" spans="1:22" x14ac:dyDescent="0.25">
      <c r="A57">
        <v>61</v>
      </c>
      <c r="B57" s="73">
        <v>61</v>
      </c>
      <c r="C57" t="s">
        <v>417</v>
      </c>
      <c r="D57" t="s">
        <v>418</v>
      </c>
      <c r="E57">
        <v>704694090</v>
      </c>
      <c r="F57" s="94">
        <v>44796</v>
      </c>
      <c r="G57" t="s">
        <v>421</v>
      </c>
      <c r="H57" t="s">
        <v>125</v>
      </c>
      <c r="I57" t="s">
        <v>231</v>
      </c>
      <c r="J57" t="s">
        <v>419</v>
      </c>
      <c r="K57" t="s">
        <v>85</v>
      </c>
      <c r="L57">
        <v>901</v>
      </c>
      <c r="M57" t="s">
        <v>125</v>
      </c>
      <c r="R57" t="s">
        <v>265</v>
      </c>
      <c r="S57">
        <v>25</v>
      </c>
      <c r="T57">
        <v>10</v>
      </c>
      <c r="U57">
        <f>S57-T57</f>
        <v>15</v>
      </c>
      <c r="V57" t="s">
        <v>420</v>
      </c>
    </row>
    <row r="58" spans="1:22" x14ac:dyDescent="0.25">
      <c r="A58">
        <v>47</v>
      </c>
      <c r="B58" s="73">
        <v>62</v>
      </c>
      <c r="C58" t="s">
        <v>362</v>
      </c>
      <c r="D58" t="s">
        <v>363</v>
      </c>
      <c r="E58">
        <v>706472206</v>
      </c>
      <c r="F58" s="94">
        <v>44760</v>
      </c>
      <c r="G58" t="s">
        <v>364</v>
      </c>
      <c r="H58" t="s">
        <v>118</v>
      </c>
      <c r="I58" t="s">
        <v>119</v>
      </c>
      <c r="J58" t="s">
        <v>365</v>
      </c>
      <c r="K58" t="s">
        <v>85</v>
      </c>
      <c r="L58">
        <v>901</v>
      </c>
      <c r="M58" t="s">
        <v>118</v>
      </c>
      <c r="R58" t="s">
        <v>120</v>
      </c>
      <c r="S58">
        <v>30</v>
      </c>
      <c r="T58">
        <v>15</v>
      </c>
      <c r="U58">
        <f>S58-T58</f>
        <v>15</v>
      </c>
    </row>
    <row r="59" spans="1:22" x14ac:dyDescent="0.25">
      <c r="A59">
        <v>62</v>
      </c>
      <c r="B59" s="73">
        <v>62</v>
      </c>
      <c r="C59" t="s">
        <v>422</v>
      </c>
      <c r="D59" t="s">
        <v>423</v>
      </c>
      <c r="E59">
        <v>705067650</v>
      </c>
      <c r="F59" s="94">
        <v>44788</v>
      </c>
      <c r="G59" t="s">
        <v>424</v>
      </c>
      <c r="H59" t="s">
        <v>118</v>
      </c>
      <c r="I59" t="s">
        <v>128</v>
      </c>
      <c r="J59" t="s">
        <v>425</v>
      </c>
      <c r="K59" t="s">
        <v>85</v>
      </c>
      <c r="L59">
        <v>901</v>
      </c>
      <c r="M59" t="s">
        <v>118</v>
      </c>
      <c r="R59" t="s">
        <v>426</v>
      </c>
      <c r="S59">
        <v>27</v>
      </c>
      <c r="T59">
        <v>17</v>
      </c>
      <c r="U59">
        <f>S59-T59</f>
        <v>10</v>
      </c>
      <c r="V59" t="s">
        <v>420</v>
      </c>
    </row>
    <row r="60" spans="1:22" x14ac:dyDescent="0.25">
      <c r="A60">
        <v>48</v>
      </c>
      <c r="B60" s="73">
        <v>63</v>
      </c>
      <c r="C60" t="s">
        <v>366</v>
      </c>
      <c r="D60" t="s">
        <v>367</v>
      </c>
      <c r="E60">
        <v>1717312704</v>
      </c>
      <c r="F60" s="94">
        <v>44746</v>
      </c>
      <c r="G60" t="s">
        <v>368</v>
      </c>
      <c r="H60" t="s">
        <v>219</v>
      </c>
      <c r="I60" t="s">
        <v>220</v>
      </c>
      <c r="J60" t="s">
        <v>369</v>
      </c>
      <c r="K60" t="s">
        <v>85</v>
      </c>
      <c r="L60">
        <v>1412</v>
      </c>
      <c r="M60" t="s">
        <v>219</v>
      </c>
      <c r="R60" t="s">
        <v>221</v>
      </c>
      <c r="S60">
        <v>30</v>
      </c>
      <c r="T60">
        <v>10</v>
      </c>
      <c r="U60">
        <f>S60-T60</f>
        <v>20</v>
      </c>
    </row>
    <row r="61" spans="1:22" x14ac:dyDescent="0.25">
      <c r="A61">
        <v>63</v>
      </c>
      <c r="B61" s="73">
        <v>63</v>
      </c>
      <c r="C61" t="s">
        <v>427</v>
      </c>
      <c r="D61" t="s">
        <v>404</v>
      </c>
      <c r="E61">
        <v>705794618</v>
      </c>
      <c r="F61" s="94">
        <v>44789</v>
      </c>
      <c r="G61" t="s">
        <v>428</v>
      </c>
      <c r="H61" t="s">
        <v>118</v>
      </c>
      <c r="I61" t="s">
        <v>429</v>
      </c>
      <c r="J61" t="s">
        <v>430</v>
      </c>
      <c r="K61" t="s">
        <v>85</v>
      </c>
      <c r="L61">
        <v>901</v>
      </c>
      <c r="M61" t="s">
        <v>118</v>
      </c>
      <c r="R61" t="s">
        <v>431</v>
      </c>
      <c r="S61">
        <v>28</v>
      </c>
      <c r="T61">
        <v>15</v>
      </c>
      <c r="U61">
        <f>S61-T61</f>
        <v>13</v>
      </c>
      <c r="V61" t="s">
        <v>420</v>
      </c>
    </row>
    <row r="62" spans="1:22" x14ac:dyDescent="0.25">
      <c r="A62">
        <v>49</v>
      </c>
      <c r="B62" s="73">
        <v>64</v>
      </c>
      <c r="C62" t="s">
        <v>371</v>
      </c>
      <c r="D62" t="s">
        <v>370</v>
      </c>
      <c r="E62">
        <v>702003682</v>
      </c>
      <c r="F62" s="94">
        <v>44764</v>
      </c>
      <c r="G62" t="s">
        <v>373</v>
      </c>
      <c r="H62" t="s">
        <v>198</v>
      </c>
      <c r="I62" t="s">
        <v>198</v>
      </c>
      <c r="J62" t="s">
        <v>372</v>
      </c>
      <c r="K62" t="s">
        <v>85</v>
      </c>
      <c r="L62">
        <v>5510</v>
      </c>
      <c r="M62" t="s">
        <v>198</v>
      </c>
      <c r="R62" t="s">
        <v>199</v>
      </c>
      <c r="S62">
        <v>30</v>
      </c>
      <c r="T62">
        <v>20</v>
      </c>
      <c r="U62">
        <f>S62-T62</f>
        <v>10</v>
      </c>
    </row>
    <row r="63" spans="1:22" x14ac:dyDescent="0.25">
      <c r="A63">
        <v>64</v>
      </c>
      <c r="B63" s="73">
        <v>64</v>
      </c>
      <c r="C63" t="s">
        <v>432</v>
      </c>
      <c r="D63" t="s">
        <v>433</v>
      </c>
      <c r="E63">
        <v>701920241</v>
      </c>
      <c r="F63" s="94">
        <v>44784</v>
      </c>
      <c r="G63" t="s">
        <v>434</v>
      </c>
      <c r="H63" t="s">
        <v>219</v>
      </c>
      <c r="I63" t="s">
        <v>220</v>
      </c>
      <c r="J63" t="s">
        <v>218</v>
      </c>
      <c r="K63" t="s">
        <v>85</v>
      </c>
      <c r="L63">
        <v>733</v>
      </c>
      <c r="M63" t="s">
        <v>219</v>
      </c>
      <c r="R63" t="s">
        <v>435</v>
      </c>
      <c r="S63">
        <v>21</v>
      </c>
      <c r="T63">
        <v>9</v>
      </c>
      <c r="U63">
        <f>S63-T63</f>
        <v>12</v>
      </c>
      <c r="V63" t="s">
        <v>420</v>
      </c>
    </row>
    <row r="64" spans="1:22" x14ac:dyDescent="0.25">
      <c r="A64">
        <v>50</v>
      </c>
      <c r="B64" s="73">
        <v>65</v>
      </c>
      <c r="C64" t="s">
        <v>374</v>
      </c>
      <c r="D64" t="s">
        <v>375</v>
      </c>
      <c r="E64">
        <v>750118614</v>
      </c>
      <c r="F64" s="94">
        <v>44747</v>
      </c>
      <c r="G64" t="s">
        <v>376</v>
      </c>
      <c r="H64" t="s">
        <v>118</v>
      </c>
      <c r="I64" t="s">
        <v>118</v>
      </c>
      <c r="J64" t="s">
        <v>277</v>
      </c>
      <c r="K64" t="s">
        <v>85</v>
      </c>
      <c r="L64">
        <v>622</v>
      </c>
      <c r="M64" t="s">
        <v>118</v>
      </c>
      <c r="R64" t="s">
        <v>227</v>
      </c>
      <c r="S64">
        <v>30</v>
      </c>
      <c r="T64">
        <v>11</v>
      </c>
      <c r="U64">
        <f>S64-T64</f>
        <v>19</v>
      </c>
    </row>
    <row r="65" spans="1:22" x14ac:dyDescent="0.25">
      <c r="A65">
        <v>65</v>
      </c>
      <c r="B65" s="73">
        <v>65</v>
      </c>
      <c r="C65" t="s">
        <v>436</v>
      </c>
      <c r="D65" t="s">
        <v>437</v>
      </c>
      <c r="E65">
        <v>704180934</v>
      </c>
      <c r="F65" s="94">
        <v>44774</v>
      </c>
      <c r="G65" t="s">
        <v>438</v>
      </c>
      <c r="H65" t="s">
        <v>134</v>
      </c>
      <c r="I65" t="s">
        <v>439</v>
      </c>
      <c r="J65" t="s">
        <v>440</v>
      </c>
      <c r="K65" t="s">
        <v>85</v>
      </c>
      <c r="L65">
        <v>622</v>
      </c>
      <c r="M65" t="s">
        <v>134</v>
      </c>
      <c r="R65" t="s">
        <v>441</v>
      </c>
      <c r="S65">
        <v>21</v>
      </c>
      <c r="T65">
        <v>5</v>
      </c>
      <c r="U65">
        <f>S65-T65</f>
        <v>16</v>
      </c>
      <c r="V65" t="s">
        <v>442</v>
      </c>
    </row>
    <row r="66" spans="1:22" x14ac:dyDescent="0.25">
      <c r="A66">
        <v>51</v>
      </c>
      <c r="B66" s="73">
        <v>66</v>
      </c>
      <c r="C66" t="s">
        <v>377</v>
      </c>
      <c r="D66" t="s">
        <v>378</v>
      </c>
      <c r="E66">
        <v>702003682</v>
      </c>
      <c r="F66" s="94">
        <v>44784</v>
      </c>
      <c r="G66" t="s">
        <v>533</v>
      </c>
      <c r="H66" t="s">
        <v>198</v>
      </c>
      <c r="I66" t="s">
        <v>198</v>
      </c>
      <c r="J66" t="s">
        <v>372</v>
      </c>
      <c r="K66" t="s">
        <v>85</v>
      </c>
      <c r="L66">
        <v>5510</v>
      </c>
      <c r="M66" t="s">
        <v>198</v>
      </c>
      <c r="R66" t="s">
        <v>199</v>
      </c>
      <c r="S66">
        <v>18</v>
      </c>
      <c r="T66">
        <v>10</v>
      </c>
      <c r="U66">
        <f>S66-T66</f>
        <v>8</v>
      </c>
      <c r="V66" t="s">
        <v>534</v>
      </c>
    </row>
    <row r="67" spans="1:22" x14ac:dyDescent="0.25">
      <c r="A67">
        <v>66</v>
      </c>
      <c r="B67" s="73">
        <v>66</v>
      </c>
      <c r="C67" t="s">
        <v>443</v>
      </c>
      <c r="D67" t="s">
        <v>444</v>
      </c>
      <c r="E67">
        <v>705447795</v>
      </c>
      <c r="F67" s="94">
        <v>44774</v>
      </c>
      <c r="G67" t="s">
        <v>445</v>
      </c>
      <c r="H67" t="s">
        <v>118</v>
      </c>
      <c r="I67" t="s">
        <v>446</v>
      </c>
      <c r="J67" t="s">
        <v>447</v>
      </c>
      <c r="K67" t="s">
        <v>85</v>
      </c>
      <c r="L67">
        <v>1212</v>
      </c>
      <c r="M67" t="s">
        <v>118</v>
      </c>
      <c r="R67" t="s">
        <v>448</v>
      </c>
      <c r="S67">
        <v>25</v>
      </c>
      <c r="T67">
        <v>15</v>
      </c>
      <c r="U67">
        <f>S67-T67</f>
        <v>10</v>
      </c>
      <c r="V67" t="s">
        <v>420</v>
      </c>
    </row>
    <row r="68" spans="1:22" x14ac:dyDescent="0.25">
      <c r="A68">
        <v>67</v>
      </c>
      <c r="B68" s="73">
        <v>67</v>
      </c>
      <c r="C68" t="s">
        <v>449</v>
      </c>
      <c r="D68" t="s">
        <v>450</v>
      </c>
      <c r="E68">
        <v>1716002983</v>
      </c>
      <c r="F68" s="94">
        <v>44781</v>
      </c>
      <c r="G68" t="s">
        <v>451</v>
      </c>
      <c r="H68" t="s">
        <v>210</v>
      </c>
      <c r="I68" t="s">
        <v>452</v>
      </c>
      <c r="J68" t="s">
        <v>453</v>
      </c>
      <c r="K68" t="s">
        <v>85</v>
      </c>
      <c r="L68">
        <v>817</v>
      </c>
      <c r="M68" t="s">
        <v>210</v>
      </c>
      <c r="R68" t="s">
        <v>454</v>
      </c>
      <c r="S68">
        <v>24</v>
      </c>
      <c r="T68">
        <v>15</v>
      </c>
      <c r="U68">
        <f>S68-T68</f>
        <v>9</v>
      </c>
      <c r="V68" t="s">
        <v>420</v>
      </c>
    </row>
    <row r="69" spans="1:22" x14ac:dyDescent="0.25">
      <c r="A69">
        <v>68</v>
      </c>
      <c r="B69" s="73">
        <v>68</v>
      </c>
      <c r="C69" t="s">
        <v>455</v>
      </c>
      <c r="D69" t="s">
        <v>456</v>
      </c>
      <c r="E69">
        <v>703494211</v>
      </c>
      <c r="F69" s="94">
        <v>44788</v>
      </c>
      <c r="G69" t="s">
        <v>457</v>
      </c>
      <c r="H69" t="s">
        <v>118</v>
      </c>
      <c r="I69" t="s">
        <v>128</v>
      </c>
      <c r="J69" t="s">
        <v>129</v>
      </c>
      <c r="K69" t="s">
        <v>85</v>
      </c>
      <c r="L69">
        <v>1212</v>
      </c>
      <c r="M69" t="s">
        <v>118</v>
      </c>
      <c r="R69" t="s">
        <v>458</v>
      </c>
      <c r="S69">
        <v>19</v>
      </c>
      <c r="T69">
        <v>15</v>
      </c>
      <c r="U69">
        <f>S69-T69</f>
        <v>4</v>
      </c>
      <c r="V69" t="s">
        <v>459</v>
      </c>
    </row>
    <row r="70" spans="1:22" x14ac:dyDescent="0.25">
      <c r="A70">
        <v>69</v>
      </c>
      <c r="B70" s="73">
        <v>69</v>
      </c>
      <c r="C70" t="s">
        <v>460</v>
      </c>
      <c r="D70" t="s">
        <v>461</v>
      </c>
      <c r="E70">
        <v>702760604</v>
      </c>
      <c r="F70" s="94">
        <v>44774</v>
      </c>
      <c r="G70" t="s">
        <v>462</v>
      </c>
      <c r="H70" t="s">
        <v>118</v>
      </c>
      <c r="I70" t="s">
        <v>128</v>
      </c>
      <c r="J70" t="s">
        <v>337</v>
      </c>
      <c r="K70" t="s">
        <v>85</v>
      </c>
      <c r="L70">
        <v>585</v>
      </c>
      <c r="M70" t="s">
        <v>118</v>
      </c>
      <c r="R70" t="s">
        <v>338</v>
      </c>
      <c r="S70">
        <v>28</v>
      </c>
      <c r="T70">
        <v>15</v>
      </c>
      <c r="U70">
        <f>S70-T70</f>
        <v>13</v>
      </c>
      <c r="V70" t="s">
        <v>420</v>
      </c>
    </row>
    <row r="71" spans="1:22" x14ac:dyDescent="0.25">
      <c r="A71">
        <v>70</v>
      </c>
      <c r="B71" s="73">
        <v>70</v>
      </c>
      <c r="C71" t="s">
        <v>463</v>
      </c>
      <c r="D71" t="s">
        <v>464</v>
      </c>
      <c r="E71">
        <v>704599265</v>
      </c>
      <c r="F71" s="94">
        <v>44819</v>
      </c>
      <c r="G71" t="s">
        <v>465</v>
      </c>
      <c r="H71" t="s">
        <v>271</v>
      </c>
      <c r="I71" t="s">
        <v>270</v>
      </c>
      <c r="J71" t="s">
        <v>466</v>
      </c>
      <c r="K71" t="s">
        <v>85</v>
      </c>
      <c r="L71">
        <v>1212</v>
      </c>
      <c r="M71" t="s">
        <v>271</v>
      </c>
      <c r="R71" t="s">
        <v>268</v>
      </c>
      <c r="S71">
        <v>20</v>
      </c>
      <c r="T71">
        <v>12</v>
      </c>
      <c r="U71">
        <f>S71-T71</f>
        <v>8</v>
      </c>
      <c r="V71" t="s">
        <v>420</v>
      </c>
    </row>
    <row r="72" spans="1:22" x14ac:dyDescent="0.25">
      <c r="A72">
        <v>71</v>
      </c>
      <c r="B72" s="73">
        <v>71</v>
      </c>
      <c r="C72" t="s">
        <v>467</v>
      </c>
      <c r="D72" t="s">
        <v>468</v>
      </c>
      <c r="E72">
        <v>1711963031</v>
      </c>
      <c r="F72" s="94">
        <v>44816</v>
      </c>
      <c r="G72" t="s">
        <v>469</v>
      </c>
      <c r="H72" t="s">
        <v>198</v>
      </c>
      <c r="I72" t="s">
        <v>198</v>
      </c>
      <c r="J72" t="s">
        <v>470</v>
      </c>
      <c r="K72" t="s">
        <v>85</v>
      </c>
      <c r="L72">
        <v>1800</v>
      </c>
      <c r="M72" t="s">
        <v>198</v>
      </c>
      <c r="R72" t="s">
        <v>199</v>
      </c>
      <c r="S72">
        <v>20</v>
      </c>
      <c r="T72">
        <v>4</v>
      </c>
      <c r="U72">
        <f>S72-T72</f>
        <v>16</v>
      </c>
      <c r="V72" t="s">
        <v>420</v>
      </c>
    </row>
    <row r="73" spans="1:22" x14ac:dyDescent="0.25">
      <c r="A73">
        <v>72</v>
      </c>
      <c r="B73" s="73">
        <v>72</v>
      </c>
      <c r="C73" t="s">
        <v>471</v>
      </c>
      <c r="D73" t="s">
        <v>472</v>
      </c>
      <c r="E73">
        <v>705051043</v>
      </c>
      <c r="F73" s="94">
        <v>44827</v>
      </c>
      <c r="G73" t="s">
        <v>473</v>
      </c>
      <c r="H73" t="s">
        <v>219</v>
      </c>
      <c r="I73" t="s">
        <v>219</v>
      </c>
      <c r="J73" t="s">
        <v>277</v>
      </c>
      <c r="K73" t="s">
        <v>85</v>
      </c>
      <c r="L73">
        <v>622</v>
      </c>
      <c r="M73" t="s">
        <v>219</v>
      </c>
      <c r="R73" t="s">
        <v>474</v>
      </c>
      <c r="S73">
        <v>23</v>
      </c>
      <c r="T73">
        <v>15</v>
      </c>
      <c r="U73">
        <f>S73-T73</f>
        <v>8</v>
      </c>
      <c r="V73" t="s">
        <v>420</v>
      </c>
    </row>
    <row r="74" spans="1:22" x14ac:dyDescent="0.25">
      <c r="A74">
        <v>73</v>
      </c>
      <c r="B74" s="73">
        <v>73</v>
      </c>
      <c r="C74" t="s">
        <v>477</v>
      </c>
      <c r="D74" t="s">
        <v>478</v>
      </c>
      <c r="E74">
        <v>603974346</v>
      </c>
      <c r="F74" s="94">
        <v>44837</v>
      </c>
      <c r="G74" t="s">
        <v>479</v>
      </c>
      <c r="H74" t="s">
        <v>480</v>
      </c>
      <c r="I74" t="s">
        <v>244</v>
      </c>
      <c r="J74" t="s">
        <v>481</v>
      </c>
      <c r="K74" t="s">
        <v>85</v>
      </c>
      <c r="L74">
        <v>901</v>
      </c>
      <c r="M74" t="s">
        <v>480</v>
      </c>
      <c r="R74" t="s">
        <v>482</v>
      </c>
      <c r="S74">
        <v>30</v>
      </c>
      <c r="T74">
        <v>19</v>
      </c>
      <c r="U74">
        <f>S74-T74</f>
        <v>11</v>
      </c>
      <c r="V74" t="s">
        <v>386</v>
      </c>
    </row>
    <row r="75" spans="1:22" x14ac:dyDescent="0.25">
      <c r="A75">
        <v>74</v>
      </c>
      <c r="B75" s="73">
        <v>74</v>
      </c>
      <c r="C75" t="s">
        <v>483</v>
      </c>
      <c r="D75" t="s">
        <v>484</v>
      </c>
      <c r="E75">
        <v>704101237</v>
      </c>
      <c r="F75" s="94">
        <v>44837</v>
      </c>
      <c r="G75" t="s">
        <v>487</v>
      </c>
      <c r="H75" t="s">
        <v>191</v>
      </c>
      <c r="I75" t="s">
        <v>485</v>
      </c>
      <c r="J75" t="s">
        <v>486</v>
      </c>
      <c r="K75" t="s">
        <v>85</v>
      </c>
      <c r="L75">
        <v>1212</v>
      </c>
      <c r="M75" t="s">
        <v>191</v>
      </c>
      <c r="R75" t="s">
        <v>268</v>
      </c>
      <c r="S75">
        <v>21</v>
      </c>
      <c r="T75">
        <v>12</v>
      </c>
      <c r="U75">
        <f>S75-T75</f>
        <v>9</v>
      </c>
      <c r="V75" t="s">
        <v>386</v>
      </c>
    </row>
    <row r="76" spans="1:22" x14ac:dyDescent="0.25">
      <c r="A76">
        <v>75</v>
      </c>
      <c r="B76" s="73">
        <v>75</v>
      </c>
      <c r="C76" t="s">
        <v>488</v>
      </c>
      <c r="D76" t="s">
        <v>489</v>
      </c>
      <c r="E76">
        <v>704358613</v>
      </c>
      <c r="F76" s="94">
        <v>44833</v>
      </c>
      <c r="G76" t="s">
        <v>490</v>
      </c>
      <c r="H76" t="s">
        <v>134</v>
      </c>
      <c r="I76" t="s">
        <v>312</v>
      </c>
      <c r="J76" t="s">
        <v>313</v>
      </c>
      <c r="K76" t="s">
        <v>85</v>
      </c>
      <c r="L76">
        <v>425</v>
      </c>
      <c r="M76" t="s">
        <v>134</v>
      </c>
      <c r="R76" t="s">
        <v>491</v>
      </c>
      <c r="S76">
        <v>18</v>
      </c>
      <c r="T76">
        <v>15</v>
      </c>
      <c r="U76">
        <f>S76-T76</f>
        <v>3</v>
      </c>
      <c r="V76" t="s">
        <v>492</v>
      </c>
    </row>
    <row r="77" spans="1:22" x14ac:dyDescent="0.25">
      <c r="A77">
        <v>76</v>
      </c>
      <c r="B77" s="73">
        <v>76</v>
      </c>
      <c r="C77" t="s">
        <v>158</v>
      </c>
      <c r="D77" t="s">
        <v>493</v>
      </c>
      <c r="E77">
        <v>703250456</v>
      </c>
      <c r="F77" s="94">
        <v>44837</v>
      </c>
      <c r="G77" t="s">
        <v>494</v>
      </c>
      <c r="H77" t="s">
        <v>134</v>
      </c>
      <c r="I77" t="s">
        <v>161</v>
      </c>
      <c r="J77" t="s">
        <v>162</v>
      </c>
      <c r="K77" t="s">
        <v>85</v>
      </c>
      <c r="L77">
        <v>622</v>
      </c>
      <c r="M77" t="s">
        <v>134</v>
      </c>
      <c r="R77" t="s">
        <v>163</v>
      </c>
      <c r="S77">
        <v>12</v>
      </c>
      <c r="T77">
        <v>12</v>
      </c>
      <c r="U77">
        <f>S77-T77</f>
        <v>0</v>
      </c>
      <c r="V77" t="s">
        <v>495</v>
      </c>
    </row>
    <row r="78" spans="1:22" x14ac:dyDescent="0.25">
      <c r="A78">
        <v>77</v>
      </c>
      <c r="B78" s="73">
        <v>77</v>
      </c>
      <c r="C78" t="s">
        <v>496</v>
      </c>
      <c r="D78" t="s">
        <v>497</v>
      </c>
      <c r="E78">
        <v>702795022</v>
      </c>
      <c r="F78" s="94">
        <v>44851</v>
      </c>
      <c r="G78" t="s">
        <v>498</v>
      </c>
      <c r="H78" t="s">
        <v>134</v>
      </c>
      <c r="I78" t="s">
        <v>135</v>
      </c>
      <c r="J78" t="s">
        <v>177</v>
      </c>
      <c r="K78" t="s">
        <v>85</v>
      </c>
      <c r="L78">
        <v>464.29</v>
      </c>
      <c r="M78" t="s">
        <v>134</v>
      </c>
      <c r="R78" t="s">
        <v>137</v>
      </c>
      <c r="S78">
        <v>23</v>
      </c>
      <c r="T78">
        <v>15</v>
      </c>
      <c r="U78">
        <f>S78-T78</f>
        <v>8</v>
      </c>
      <c r="V78" t="s">
        <v>386</v>
      </c>
    </row>
    <row r="79" spans="1:22" x14ac:dyDescent="0.25">
      <c r="A79">
        <v>78</v>
      </c>
      <c r="B79" s="73">
        <v>78</v>
      </c>
      <c r="C79" t="s">
        <v>499</v>
      </c>
      <c r="D79" t="s">
        <v>500</v>
      </c>
      <c r="E79">
        <v>703678615</v>
      </c>
      <c r="F79" s="94">
        <v>44854</v>
      </c>
      <c r="G79" t="s">
        <v>501</v>
      </c>
      <c r="H79" t="s">
        <v>134</v>
      </c>
      <c r="I79" t="s">
        <v>503</v>
      </c>
      <c r="J79" t="s">
        <v>502</v>
      </c>
      <c r="K79" t="s">
        <v>85</v>
      </c>
      <c r="L79">
        <v>464.29</v>
      </c>
      <c r="M79" t="s">
        <v>134</v>
      </c>
      <c r="R79" t="s">
        <v>504</v>
      </c>
      <c r="S79">
        <v>54</v>
      </c>
      <c r="T79">
        <v>15</v>
      </c>
      <c r="U79">
        <f>S79-T79</f>
        <v>39</v>
      </c>
      <c r="V79" t="s">
        <v>492</v>
      </c>
    </row>
    <row r="80" spans="1:22" x14ac:dyDescent="0.25">
      <c r="A80">
        <v>79</v>
      </c>
      <c r="B80" s="73">
        <v>79</v>
      </c>
      <c r="C80" t="s">
        <v>505</v>
      </c>
      <c r="D80" t="s">
        <v>506</v>
      </c>
      <c r="E80">
        <v>703906610</v>
      </c>
      <c r="F80" s="94">
        <v>44851</v>
      </c>
      <c r="G80" t="s">
        <v>507</v>
      </c>
      <c r="H80" t="s">
        <v>118</v>
      </c>
      <c r="I80" t="s">
        <v>128</v>
      </c>
      <c r="J80" t="s">
        <v>337</v>
      </c>
      <c r="K80" t="s">
        <v>85</v>
      </c>
      <c r="L80">
        <v>585</v>
      </c>
      <c r="M80" t="s">
        <v>118</v>
      </c>
      <c r="R80" t="s">
        <v>338</v>
      </c>
      <c r="S80">
        <v>28</v>
      </c>
      <c r="T80">
        <v>30</v>
      </c>
      <c r="U80">
        <f>S80-T80</f>
        <v>-2</v>
      </c>
      <c r="V80" t="s">
        <v>508</v>
      </c>
    </row>
    <row r="81" spans="1:22" x14ac:dyDescent="0.25">
      <c r="A81">
        <v>80</v>
      </c>
      <c r="B81" s="73">
        <v>80</v>
      </c>
      <c r="C81" t="s">
        <v>432</v>
      </c>
      <c r="D81" t="s">
        <v>433</v>
      </c>
      <c r="E81">
        <v>701920241</v>
      </c>
      <c r="F81" s="94">
        <v>44845</v>
      </c>
      <c r="G81" t="s">
        <v>509</v>
      </c>
      <c r="H81" t="s">
        <v>219</v>
      </c>
      <c r="I81" t="s">
        <v>220</v>
      </c>
      <c r="J81" t="s">
        <v>218</v>
      </c>
      <c r="K81" t="s">
        <v>85</v>
      </c>
      <c r="L81">
        <v>733</v>
      </c>
      <c r="M81" t="s">
        <v>219</v>
      </c>
      <c r="R81" t="s">
        <v>435</v>
      </c>
      <c r="S81">
        <v>12</v>
      </c>
      <c r="T81">
        <v>30</v>
      </c>
      <c r="U81">
        <f>S81-T81</f>
        <v>-18</v>
      </c>
      <c r="V81" t="s">
        <v>510</v>
      </c>
    </row>
    <row r="82" spans="1:22" x14ac:dyDescent="0.25">
      <c r="A82">
        <v>81</v>
      </c>
      <c r="B82" s="73">
        <v>81</v>
      </c>
      <c r="C82" t="s">
        <v>511</v>
      </c>
      <c r="D82" t="s">
        <v>512</v>
      </c>
      <c r="E82">
        <v>704206390</v>
      </c>
      <c r="F82" s="94">
        <v>44858</v>
      </c>
      <c r="G82" t="s">
        <v>513</v>
      </c>
      <c r="H82" t="s">
        <v>134</v>
      </c>
      <c r="I82" t="s">
        <v>503</v>
      </c>
      <c r="J82" t="s">
        <v>514</v>
      </c>
      <c r="K82" t="s">
        <v>85</v>
      </c>
      <c r="L82">
        <v>622</v>
      </c>
      <c r="M82" t="s">
        <v>134</v>
      </c>
      <c r="R82" t="s">
        <v>504</v>
      </c>
      <c r="S82">
        <v>17</v>
      </c>
      <c r="T82">
        <v>10</v>
      </c>
      <c r="U82">
        <f>S82-T82</f>
        <v>7</v>
      </c>
      <c r="V82" t="s">
        <v>492</v>
      </c>
    </row>
    <row r="83" spans="1:22" x14ac:dyDescent="0.25">
      <c r="A83">
        <v>82</v>
      </c>
      <c r="B83" s="73">
        <v>82</v>
      </c>
      <c r="C83" t="s">
        <v>515</v>
      </c>
      <c r="D83" t="s">
        <v>516</v>
      </c>
      <c r="E83">
        <v>703373761</v>
      </c>
      <c r="F83" s="94">
        <v>44858</v>
      </c>
      <c r="G83" t="s">
        <v>517</v>
      </c>
      <c r="H83" t="s">
        <v>518</v>
      </c>
      <c r="I83" t="s">
        <v>270</v>
      </c>
      <c r="J83" t="s">
        <v>519</v>
      </c>
      <c r="K83" t="s">
        <v>85</v>
      </c>
      <c r="L83">
        <v>1212</v>
      </c>
      <c r="M83" t="s">
        <v>518</v>
      </c>
      <c r="R83" t="s">
        <v>520</v>
      </c>
      <c r="S83">
        <v>52</v>
      </c>
      <c r="T83">
        <v>7</v>
      </c>
      <c r="U83">
        <f>S83-T83</f>
        <v>45</v>
      </c>
      <c r="V83" t="s">
        <v>492</v>
      </c>
    </row>
    <row r="84" spans="1:22" x14ac:dyDescent="0.25">
      <c r="A84">
        <v>83</v>
      </c>
      <c r="B84" s="73">
        <v>83</v>
      </c>
      <c r="C84" t="s">
        <v>521</v>
      </c>
      <c r="D84" t="s">
        <v>522</v>
      </c>
      <c r="E84">
        <v>701652745</v>
      </c>
      <c r="F84" s="94">
        <v>44861</v>
      </c>
      <c r="G84" t="s">
        <v>523</v>
      </c>
      <c r="H84" t="s">
        <v>134</v>
      </c>
      <c r="I84" t="s">
        <v>503</v>
      </c>
      <c r="J84" t="s">
        <v>502</v>
      </c>
      <c r="K84" t="s">
        <v>85</v>
      </c>
      <c r="L84">
        <v>464.29</v>
      </c>
      <c r="M84" t="s">
        <v>134</v>
      </c>
      <c r="R84" t="s">
        <v>504</v>
      </c>
      <c r="S84">
        <v>30</v>
      </c>
      <c r="T84">
        <v>17</v>
      </c>
      <c r="U84">
        <f>S84-T84</f>
        <v>13</v>
      </c>
      <c r="V84" t="s">
        <v>386</v>
      </c>
    </row>
    <row r="85" spans="1:22" x14ac:dyDescent="0.25">
      <c r="A85">
        <v>84</v>
      </c>
      <c r="B85" s="73">
        <v>84</v>
      </c>
      <c r="C85" t="s">
        <v>525</v>
      </c>
      <c r="D85" t="s">
        <v>526</v>
      </c>
      <c r="E85">
        <v>704136381</v>
      </c>
      <c r="F85" s="94">
        <v>44882</v>
      </c>
      <c r="G85" t="s">
        <v>527</v>
      </c>
      <c r="H85" t="s">
        <v>256</v>
      </c>
      <c r="I85" t="s">
        <v>321</v>
      </c>
      <c r="J85" t="s">
        <v>528</v>
      </c>
      <c r="K85" t="s">
        <v>85</v>
      </c>
      <c r="L85">
        <v>1676</v>
      </c>
      <c r="M85" t="s">
        <v>256</v>
      </c>
      <c r="R85" t="s">
        <v>529</v>
      </c>
      <c r="S85">
        <v>35</v>
      </c>
      <c r="T85">
        <v>15</v>
      </c>
      <c r="U85">
        <f>S85-T85</f>
        <v>20</v>
      </c>
      <c r="V85" t="s">
        <v>492</v>
      </c>
    </row>
    <row r="86" spans="1:22" x14ac:dyDescent="0.25">
      <c r="A86">
        <v>85</v>
      </c>
      <c r="B86" s="73">
        <v>85</v>
      </c>
      <c r="C86" t="s">
        <v>371</v>
      </c>
      <c r="D86" t="s">
        <v>377</v>
      </c>
      <c r="E86">
        <v>702003682</v>
      </c>
      <c r="F86" s="94">
        <v>44886</v>
      </c>
      <c r="G86" t="s">
        <v>535</v>
      </c>
      <c r="H86" t="s">
        <v>198</v>
      </c>
      <c r="I86" t="s">
        <v>198</v>
      </c>
      <c r="J86" t="s">
        <v>372</v>
      </c>
      <c r="K86" t="s">
        <v>85</v>
      </c>
      <c r="L86">
        <v>5510</v>
      </c>
      <c r="M86" t="s">
        <v>198</v>
      </c>
      <c r="R86" t="s">
        <v>199</v>
      </c>
      <c r="S86">
        <v>14</v>
      </c>
      <c r="T86">
        <v>14</v>
      </c>
      <c r="U86">
        <f>S86-T86</f>
        <v>0</v>
      </c>
      <c r="V86" t="s">
        <v>536</v>
      </c>
    </row>
    <row r="87" spans="1:22" x14ac:dyDescent="0.25">
      <c r="A87">
        <v>86</v>
      </c>
      <c r="B87" s="73">
        <v>86</v>
      </c>
      <c r="C87" t="s">
        <v>538</v>
      </c>
      <c r="D87" t="s">
        <v>539</v>
      </c>
      <c r="E87">
        <v>704456243</v>
      </c>
      <c r="F87" s="94">
        <v>44837</v>
      </c>
      <c r="G87" t="s">
        <v>540</v>
      </c>
      <c r="H87" t="s">
        <v>134</v>
      </c>
      <c r="I87" t="s">
        <v>134</v>
      </c>
      <c r="J87" t="s">
        <v>541</v>
      </c>
      <c r="K87" t="s">
        <v>85</v>
      </c>
      <c r="L87">
        <v>1086</v>
      </c>
      <c r="M87" t="s">
        <v>134</v>
      </c>
      <c r="R87" t="s">
        <v>314</v>
      </c>
      <c r="S87">
        <v>30</v>
      </c>
      <c r="T87">
        <v>15</v>
      </c>
      <c r="U87">
        <f>S87-T87</f>
        <v>15</v>
      </c>
      <c r="V87" t="s">
        <v>537</v>
      </c>
    </row>
    <row r="88" spans="1:22" x14ac:dyDescent="0.25">
      <c r="A88">
        <v>87</v>
      </c>
      <c r="B88" s="73">
        <v>87</v>
      </c>
      <c r="C88" t="s">
        <v>542</v>
      </c>
      <c r="D88" t="s">
        <v>543</v>
      </c>
      <c r="E88">
        <v>706168788</v>
      </c>
      <c r="F88" s="94">
        <v>44858</v>
      </c>
      <c r="G88" t="s">
        <v>544</v>
      </c>
      <c r="H88" t="s">
        <v>134</v>
      </c>
      <c r="I88" t="s">
        <v>134</v>
      </c>
      <c r="J88" t="s">
        <v>545</v>
      </c>
      <c r="K88" t="s">
        <v>85</v>
      </c>
      <c r="L88">
        <v>1212</v>
      </c>
      <c r="M88" t="s">
        <v>134</v>
      </c>
      <c r="R88" t="s">
        <v>504</v>
      </c>
      <c r="S88">
        <v>25</v>
      </c>
      <c r="T88">
        <v>15</v>
      </c>
      <c r="U88">
        <f>S88-T88</f>
        <v>10</v>
      </c>
      <c r="V88" t="s">
        <v>546</v>
      </c>
    </row>
    <row r="89" spans="1:22" x14ac:dyDescent="0.25">
      <c r="A89">
        <v>88</v>
      </c>
      <c r="B89" s="73">
        <v>88</v>
      </c>
      <c r="C89" t="s">
        <v>547</v>
      </c>
      <c r="D89" t="s">
        <v>548</v>
      </c>
      <c r="E89">
        <v>705779445</v>
      </c>
      <c r="F89" s="94">
        <v>44825</v>
      </c>
      <c r="G89" t="s">
        <v>549</v>
      </c>
      <c r="H89" t="s">
        <v>256</v>
      </c>
      <c r="I89" t="s">
        <v>321</v>
      </c>
      <c r="J89" t="s">
        <v>550</v>
      </c>
      <c r="K89" t="s">
        <v>85</v>
      </c>
      <c r="L89">
        <v>901</v>
      </c>
      <c r="M89" t="s">
        <v>256</v>
      </c>
      <c r="R89" t="s">
        <v>551</v>
      </c>
      <c r="S89">
        <v>29</v>
      </c>
      <c r="T89">
        <v>10</v>
      </c>
      <c r="U89">
        <f>S89-T89</f>
        <v>19</v>
      </c>
      <c r="V89" t="s">
        <v>552</v>
      </c>
    </row>
    <row r="90" spans="1:22" x14ac:dyDescent="0.25">
      <c r="A90">
        <v>89</v>
      </c>
      <c r="B90" s="73">
        <v>89</v>
      </c>
      <c r="C90" t="s">
        <v>553</v>
      </c>
      <c r="D90" t="s">
        <v>554</v>
      </c>
      <c r="E90">
        <v>703927806</v>
      </c>
      <c r="F90" s="94">
        <v>44845</v>
      </c>
      <c r="G90" t="s">
        <v>555</v>
      </c>
      <c r="H90" t="s">
        <v>118</v>
      </c>
      <c r="I90" t="s">
        <v>118</v>
      </c>
      <c r="J90" t="s">
        <v>556</v>
      </c>
      <c r="K90" t="s">
        <v>85</v>
      </c>
      <c r="L90">
        <v>986</v>
      </c>
      <c r="M90" t="s">
        <v>118</v>
      </c>
      <c r="R90" t="s">
        <v>557</v>
      </c>
      <c r="S90">
        <v>11</v>
      </c>
      <c r="T90">
        <v>18</v>
      </c>
      <c r="U90">
        <f>S90-T90</f>
        <v>-7</v>
      </c>
      <c r="V90" t="s">
        <v>558</v>
      </c>
    </row>
    <row r="91" spans="1:22" x14ac:dyDescent="0.25">
      <c r="A91">
        <v>90</v>
      </c>
      <c r="B91" s="73">
        <v>90</v>
      </c>
      <c r="C91" t="s">
        <v>559</v>
      </c>
      <c r="D91" t="s">
        <v>560</v>
      </c>
      <c r="E91">
        <v>700968670</v>
      </c>
      <c r="F91" s="94">
        <v>44879</v>
      </c>
      <c r="G91" t="s">
        <v>561</v>
      </c>
      <c r="H91" t="s">
        <v>141</v>
      </c>
      <c r="I91" t="s">
        <v>142</v>
      </c>
      <c r="J91" t="s">
        <v>410</v>
      </c>
      <c r="K91" t="s">
        <v>85</v>
      </c>
      <c r="L91">
        <v>1412</v>
      </c>
      <c r="M91" t="s">
        <v>141</v>
      </c>
      <c r="R91" t="s">
        <v>144</v>
      </c>
      <c r="S91">
        <v>60</v>
      </c>
      <c r="T91">
        <v>47</v>
      </c>
      <c r="U91">
        <f>S91-T91</f>
        <v>13</v>
      </c>
      <c r="V91" t="s">
        <v>492</v>
      </c>
    </row>
    <row r="92" spans="1:22" x14ac:dyDescent="0.25">
      <c r="A92">
        <v>91</v>
      </c>
      <c r="B92" s="73">
        <v>91</v>
      </c>
      <c r="C92" t="s">
        <v>563</v>
      </c>
      <c r="D92" t="s">
        <v>564</v>
      </c>
      <c r="E92">
        <v>501280747</v>
      </c>
      <c r="F92" s="94">
        <v>44880</v>
      </c>
      <c r="G92" t="s">
        <v>565</v>
      </c>
      <c r="H92" t="s">
        <v>141</v>
      </c>
      <c r="I92" t="s">
        <v>142</v>
      </c>
      <c r="J92" t="s">
        <v>209</v>
      </c>
      <c r="K92" t="s">
        <v>85</v>
      </c>
      <c r="L92">
        <v>733</v>
      </c>
      <c r="M92" t="s">
        <v>141</v>
      </c>
      <c r="R92" t="s">
        <v>411</v>
      </c>
      <c r="S92">
        <v>20</v>
      </c>
      <c r="T92">
        <v>14</v>
      </c>
      <c r="U92">
        <f>S92-T92</f>
        <v>6</v>
      </c>
      <c r="V92" t="s">
        <v>546</v>
      </c>
    </row>
    <row r="93" spans="1:22" x14ac:dyDescent="0.25">
      <c r="A93">
        <v>92</v>
      </c>
      <c r="B93" s="73">
        <v>92</v>
      </c>
      <c r="C93" t="s">
        <v>566</v>
      </c>
      <c r="D93" t="s">
        <v>567</v>
      </c>
      <c r="E93">
        <v>705638823</v>
      </c>
      <c r="F93" s="94">
        <v>44886</v>
      </c>
      <c r="G93" t="s">
        <v>568</v>
      </c>
      <c r="H93" t="s">
        <v>141</v>
      </c>
      <c r="I93" t="s">
        <v>141</v>
      </c>
      <c r="J93" t="s">
        <v>410</v>
      </c>
      <c r="K93" t="s">
        <v>85</v>
      </c>
      <c r="L93">
        <v>1212</v>
      </c>
      <c r="M93" t="s">
        <v>141</v>
      </c>
      <c r="R93" t="s">
        <v>411</v>
      </c>
      <c r="S93">
        <v>28</v>
      </c>
      <c r="T93">
        <v>17</v>
      </c>
      <c r="U93">
        <f>S93-T93</f>
        <v>11</v>
      </c>
      <c r="V93" t="s">
        <v>569</v>
      </c>
    </row>
    <row r="94" spans="1:22" x14ac:dyDescent="0.25">
      <c r="A94">
        <v>93</v>
      </c>
      <c r="B94" s="73">
        <v>93</v>
      </c>
      <c r="C94" t="s">
        <v>570</v>
      </c>
      <c r="D94" t="s">
        <v>571</v>
      </c>
      <c r="E94">
        <v>705929370</v>
      </c>
      <c r="F94" s="94">
        <v>44881</v>
      </c>
      <c r="G94" t="s">
        <v>572</v>
      </c>
      <c r="H94" t="s">
        <v>134</v>
      </c>
      <c r="I94" t="s">
        <v>134</v>
      </c>
      <c r="J94" t="s">
        <v>573</v>
      </c>
      <c r="K94" t="s">
        <v>85</v>
      </c>
      <c r="L94">
        <v>464.29</v>
      </c>
      <c r="M94" t="s">
        <v>134</v>
      </c>
      <c r="R94" t="s">
        <v>504</v>
      </c>
      <c r="S94">
        <v>27</v>
      </c>
      <c r="T94">
        <v>12</v>
      </c>
      <c r="U94">
        <f>S94-T94</f>
        <v>15</v>
      </c>
      <c r="V94" t="s">
        <v>574</v>
      </c>
    </row>
    <row r="95" spans="1:22" x14ac:dyDescent="0.25">
      <c r="A95">
        <v>94</v>
      </c>
      <c r="B95" s="73">
        <v>94</v>
      </c>
      <c r="C95" t="s">
        <v>443</v>
      </c>
      <c r="D95" t="s">
        <v>575</v>
      </c>
      <c r="E95">
        <v>705447795</v>
      </c>
      <c r="F95" s="94">
        <v>44882</v>
      </c>
      <c r="G95" t="s">
        <v>576</v>
      </c>
      <c r="H95" t="s">
        <v>118</v>
      </c>
      <c r="I95" t="s">
        <v>446</v>
      </c>
      <c r="J95" t="s">
        <v>447</v>
      </c>
      <c r="K95" t="s">
        <v>85</v>
      </c>
      <c r="L95">
        <v>1212</v>
      </c>
      <c r="M95" t="s">
        <v>118</v>
      </c>
      <c r="R95" t="s">
        <v>577</v>
      </c>
      <c r="S95">
        <v>14</v>
      </c>
      <c r="T95">
        <v>15</v>
      </c>
      <c r="U95">
        <f>S95-T95</f>
        <v>-1</v>
      </c>
      <c r="V95" t="s">
        <v>578</v>
      </c>
    </row>
    <row r="96" spans="1:22" x14ac:dyDescent="0.25">
      <c r="A96">
        <v>95</v>
      </c>
      <c r="B96" s="73">
        <v>95</v>
      </c>
      <c r="C96" t="s">
        <v>579</v>
      </c>
      <c r="D96" t="s">
        <v>580</v>
      </c>
      <c r="E96">
        <v>704936640</v>
      </c>
      <c r="F96" s="94">
        <v>44881</v>
      </c>
      <c r="G96" t="s">
        <v>581</v>
      </c>
      <c r="H96" t="s">
        <v>134</v>
      </c>
      <c r="I96" t="s">
        <v>134</v>
      </c>
      <c r="J96" t="s">
        <v>582</v>
      </c>
      <c r="K96" t="s">
        <v>85</v>
      </c>
      <c r="L96">
        <v>488</v>
      </c>
      <c r="M96" t="s">
        <v>134</v>
      </c>
      <c r="R96" t="s">
        <v>314</v>
      </c>
      <c r="S96">
        <v>16</v>
      </c>
      <c r="T96">
        <v>15</v>
      </c>
      <c r="U96">
        <f>S96-T96</f>
        <v>1</v>
      </c>
      <c r="V96" t="s">
        <v>583</v>
      </c>
    </row>
    <row r="97" spans="1:22" x14ac:dyDescent="0.25">
      <c r="A97">
        <v>96</v>
      </c>
      <c r="B97" s="73">
        <v>96</v>
      </c>
      <c r="C97" t="s">
        <v>584</v>
      </c>
      <c r="D97" t="s">
        <v>585</v>
      </c>
      <c r="E97">
        <v>703350488</v>
      </c>
      <c r="F97" s="94">
        <v>44825</v>
      </c>
      <c r="G97" t="s">
        <v>586</v>
      </c>
      <c r="H97" t="s">
        <v>191</v>
      </c>
      <c r="I97" t="s">
        <v>190</v>
      </c>
      <c r="J97" t="s">
        <v>587</v>
      </c>
      <c r="K97" t="s">
        <v>85</v>
      </c>
      <c r="L97">
        <v>1760</v>
      </c>
      <c r="M97" t="s">
        <v>191</v>
      </c>
      <c r="R97" t="s">
        <v>192</v>
      </c>
      <c r="S97">
        <v>22</v>
      </c>
      <c r="T97">
        <v>10</v>
      </c>
      <c r="U97">
        <f>S97-T97</f>
        <v>12</v>
      </c>
      <c r="V97" t="s">
        <v>588</v>
      </c>
    </row>
    <row r="98" spans="1:22" x14ac:dyDescent="0.25">
      <c r="A98">
        <v>97</v>
      </c>
      <c r="B98" s="73">
        <v>97</v>
      </c>
      <c r="C98" t="s">
        <v>589</v>
      </c>
      <c r="D98" t="s">
        <v>590</v>
      </c>
      <c r="E98">
        <v>703962829</v>
      </c>
      <c r="F98" s="94">
        <v>44830</v>
      </c>
      <c r="G98" t="s">
        <v>591</v>
      </c>
      <c r="H98" t="s">
        <v>243</v>
      </c>
      <c r="I98" t="s">
        <v>244</v>
      </c>
      <c r="J98" t="s">
        <v>592</v>
      </c>
      <c r="K98" t="s">
        <v>85</v>
      </c>
      <c r="L98">
        <v>1676</v>
      </c>
      <c r="M98" t="s">
        <v>243</v>
      </c>
      <c r="R98" t="s">
        <v>246</v>
      </c>
      <c r="S98">
        <v>28</v>
      </c>
      <c r="T98">
        <v>14</v>
      </c>
      <c r="U98">
        <f>S98-T98</f>
        <v>14</v>
      </c>
      <c r="V98" t="s">
        <v>574</v>
      </c>
    </row>
    <row r="99" spans="1:22" x14ac:dyDescent="0.25">
      <c r="A99">
        <v>98</v>
      </c>
      <c r="B99" s="73">
        <v>98</v>
      </c>
      <c r="C99" t="s">
        <v>593</v>
      </c>
      <c r="D99" t="s">
        <v>594</v>
      </c>
      <c r="E99">
        <v>1309885547</v>
      </c>
      <c r="F99" s="94">
        <v>44872</v>
      </c>
      <c r="G99" t="s">
        <v>595</v>
      </c>
      <c r="H99" t="s">
        <v>134</v>
      </c>
      <c r="I99" t="s">
        <v>134</v>
      </c>
      <c r="J99" t="s">
        <v>177</v>
      </c>
      <c r="K99" t="s">
        <v>85</v>
      </c>
      <c r="L99">
        <v>464.29</v>
      </c>
      <c r="M99" t="s">
        <v>134</v>
      </c>
      <c r="R99" t="s">
        <v>137</v>
      </c>
      <c r="S99">
        <v>25</v>
      </c>
      <c r="T99">
        <v>14</v>
      </c>
      <c r="U99">
        <f>S99-T99</f>
        <v>11</v>
      </c>
      <c r="V99" t="s">
        <v>569</v>
      </c>
    </row>
    <row r="100" spans="1:22" x14ac:dyDescent="0.25">
      <c r="A100">
        <v>99</v>
      </c>
      <c r="B100" s="73">
        <v>99</v>
      </c>
      <c r="C100" t="s">
        <v>596</v>
      </c>
      <c r="D100" t="s">
        <v>597</v>
      </c>
      <c r="E100">
        <v>705088581</v>
      </c>
      <c r="F100" s="94">
        <v>44872</v>
      </c>
      <c r="G100" t="s">
        <v>598</v>
      </c>
      <c r="H100" t="s">
        <v>134</v>
      </c>
      <c r="I100" t="s">
        <v>134</v>
      </c>
      <c r="J100" t="s">
        <v>177</v>
      </c>
      <c r="K100" t="s">
        <v>85</v>
      </c>
      <c r="L100">
        <v>464.29</v>
      </c>
      <c r="M100" t="s">
        <v>134</v>
      </c>
      <c r="R100" t="s">
        <v>137</v>
      </c>
      <c r="S100">
        <v>26</v>
      </c>
      <c r="T100">
        <v>14</v>
      </c>
      <c r="U100">
        <f>S100-T100</f>
        <v>12</v>
      </c>
      <c r="V100" t="s">
        <v>599</v>
      </c>
    </row>
    <row r="101" spans="1:22" x14ac:dyDescent="0.25">
      <c r="A101">
        <v>100</v>
      </c>
      <c r="B101" s="73">
        <v>100</v>
      </c>
      <c r="C101" t="s">
        <v>600</v>
      </c>
      <c r="D101" t="s">
        <v>601</v>
      </c>
      <c r="E101">
        <v>702484593</v>
      </c>
      <c r="F101" s="94">
        <v>44872</v>
      </c>
      <c r="G101" t="s">
        <v>602</v>
      </c>
      <c r="H101" t="s">
        <v>134</v>
      </c>
      <c r="I101" t="s">
        <v>149</v>
      </c>
      <c r="J101" t="s">
        <v>603</v>
      </c>
      <c r="K101" t="s">
        <v>85</v>
      </c>
      <c r="L101">
        <v>1212</v>
      </c>
      <c r="M101" t="s">
        <v>134</v>
      </c>
      <c r="R101" t="s">
        <v>151</v>
      </c>
      <c r="S101">
        <v>23</v>
      </c>
      <c r="T101">
        <v>15</v>
      </c>
      <c r="U101">
        <f>S101-T101</f>
        <v>8</v>
      </c>
      <c r="V101" t="s">
        <v>604</v>
      </c>
    </row>
    <row r="102" spans="1:22" x14ac:dyDescent="0.25">
      <c r="A102">
        <v>101</v>
      </c>
      <c r="B102" s="73">
        <v>101</v>
      </c>
      <c r="C102" t="s">
        <v>605</v>
      </c>
      <c r="D102" t="s">
        <v>303</v>
      </c>
      <c r="E102">
        <v>701658510</v>
      </c>
      <c r="F102" s="94">
        <v>44893</v>
      </c>
      <c r="G102" t="s">
        <v>606</v>
      </c>
      <c r="H102" t="s">
        <v>155</v>
      </c>
      <c r="I102" t="s">
        <v>607</v>
      </c>
      <c r="J102" t="s">
        <v>608</v>
      </c>
      <c r="K102" t="s">
        <v>85</v>
      </c>
      <c r="L102">
        <v>1212</v>
      </c>
      <c r="M102" t="s">
        <v>155</v>
      </c>
      <c r="R102" t="s">
        <v>609</v>
      </c>
      <c r="S102">
        <v>60</v>
      </c>
      <c r="T102">
        <v>10</v>
      </c>
      <c r="U102">
        <f>S102-T102</f>
        <v>50</v>
      </c>
      <c r="V102" t="s">
        <v>492</v>
      </c>
    </row>
    <row r="103" spans="1:22" x14ac:dyDescent="0.25">
      <c r="A103">
        <v>102</v>
      </c>
      <c r="B103" s="73">
        <v>102</v>
      </c>
      <c r="C103" t="s">
        <v>610</v>
      </c>
      <c r="D103" t="s">
        <v>611</v>
      </c>
      <c r="E103">
        <v>701411258</v>
      </c>
      <c r="F103" s="94">
        <v>44893</v>
      </c>
      <c r="G103" t="s">
        <v>612</v>
      </c>
      <c r="H103" t="s">
        <v>198</v>
      </c>
      <c r="I103" t="s">
        <v>198</v>
      </c>
      <c r="J103" t="s">
        <v>277</v>
      </c>
      <c r="K103" t="s">
        <v>85</v>
      </c>
      <c r="L103">
        <v>817</v>
      </c>
      <c r="M103" t="s">
        <v>198</v>
      </c>
      <c r="R103" t="s">
        <v>199</v>
      </c>
      <c r="S103">
        <v>34</v>
      </c>
      <c r="T103">
        <v>34</v>
      </c>
      <c r="U103">
        <f>S103-T103</f>
        <v>0</v>
      </c>
      <c r="V103" t="s">
        <v>386</v>
      </c>
    </row>
    <row r="104" spans="1:22" x14ac:dyDescent="0.25">
      <c r="A104">
        <v>103</v>
      </c>
      <c r="B104" s="73">
        <v>103</v>
      </c>
      <c r="C104" t="s">
        <v>194</v>
      </c>
      <c r="D104" t="s">
        <v>195</v>
      </c>
      <c r="E104">
        <v>701172637</v>
      </c>
      <c r="F104" s="94">
        <v>44893</v>
      </c>
      <c r="G104" t="s">
        <v>613</v>
      </c>
      <c r="H104" t="s">
        <v>198</v>
      </c>
      <c r="I104" t="s">
        <v>198</v>
      </c>
      <c r="J104" t="s">
        <v>196</v>
      </c>
      <c r="K104" t="s">
        <v>85</v>
      </c>
      <c r="L104">
        <v>675</v>
      </c>
      <c r="M104" t="s">
        <v>198</v>
      </c>
      <c r="R104" t="s">
        <v>199</v>
      </c>
      <c r="S104">
        <v>11</v>
      </c>
      <c r="T104">
        <v>11</v>
      </c>
      <c r="U104">
        <f>S104-T104</f>
        <v>0</v>
      </c>
      <c r="V104" t="s">
        <v>492</v>
      </c>
    </row>
    <row r="105" spans="1:22" x14ac:dyDescent="0.25">
      <c r="A105">
        <v>104</v>
      </c>
      <c r="B105" s="73">
        <v>104</v>
      </c>
      <c r="C105" t="s">
        <v>302</v>
      </c>
      <c r="D105" t="s">
        <v>303</v>
      </c>
      <c r="E105">
        <v>704048685</v>
      </c>
      <c r="F105" s="94">
        <v>44896</v>
      </c>
      <c r="G105" t="s">
        <v>614</v>
      </c>
      <c r="H105" t="s">
        <v>134</v>
      </c>
      <c r="I105" t="s">
        <v>149</v>
      </c>
      <c r="J105" t="s">
        <v>305</v>
      </c>
      <c r="K105" t="s">
        <v>85</v>
      </c>
      <c r="L105">
        <v>1412</v>
      </c>
      <c r="M105" t="s">
        <v>134</v>
      </c>
      <c r="R105" t="s">
        <v>151</v>
      </c>
      <c r="S105">
        <v>60</v>
      </c>
      <c r="T105">
        <v>37</v>
      </c>
      <c r="U105">
        <f>S105-T105</f>
        <v>23</v>
      </c>
      <c r="V105" t="s">
        <v>492</v>
      </c>
    </row>
    <row r="106" spans="1:22" x14ac:dyDescent="0.25">
      <c r="B106" s="73"/>
      <c r="U106">
        <f>S106-T106</f>
        <v>0</v>
      </c>
    </row>
    <row r="107" spans="1:22" x14ac:dyDescent="0.25">
      <c r="B107" s="73"/>
      <c r="U107">
        <f>S107-T107</f>
        <v>0</v>
      </c>
    </row>
    <row r="108" spans="1:22" x14ac:dyDescent="0.25">
      <c r="B108" s="73"/>
      <c r="U108">
        <f>S108-T108</f>
        <v>0</v>
      </c>
    </row>
    <row r="109" spans="1:22" x14ac:dyDescent="0.25">
      <c r="B109" s="73"/>
      <c r="U109">
        <f>S109-T109</f>
        <v>0</v>
      </c>
    </row>
    <row r="110" spans="1:22" x14ac:dyDescent="0.25">
      <c r="B110" s="73"/>
      <c r="U110">
        <f>S110-T110</f>
        <v>0</v>
      </c>
    </row>
    <row r="111" spans="1:22" x14ac:dyDescent="0.25">
      <c r="B111" s="73"/>
      <c r="U111">
        <f>S111-T111</f>
        <v>0</v>
      </c>
    </row>
    <row r="112" spans="1:22" x14ac:dyDescent="0.25">
      <c r="B112" s="73"/>
      <c r="U112">
        <f>S112-T112</f>
        <v>0</v>
      </c>
    </row>
    <row r="113" spans="2:21" x14ac:dyDescent="0.25">
      <c r="B113" s="73"/>
      <c r="U113">
        <f>S113-T113</f>
        <v>0</v>
      </c>
    </row>
    <row r="114" spans="2:21" x14ac:dyDescent="0.25">
      <c r="B114" s="73"/>
      <c r="U114">
        <f>S114-T114</f>
        <v>0</v>
      </c>
    </row>
    <row r="115" spans="2:21" x14ac:dyDescent="0.25">
      <c r="B115" s="73"/>
      <c r="U115">
        <f>S115-T115</f>
        <v>0</v>
      </c>
    </row>
    <row r="116" spans="2:21" x14ac:dyDescent="0.25">
      <c r="B116" s="73"/>
      <c r="U116">
        <f>S116-T116</f>
        <v>0</v>
      </c>
    </row>
    <row r="117" spans="2:21" x14ac:dyDescent="0.25">
      <c r="B117" s="73"/>
      <c r="U117">
        <f>S117-T117</f>
        <v>0</v>
      </c>
    </row>
    <row r="118" spans="2:21" x14ac:dyDescent="0.25">
      <c r="B118" s="73"/>
      <c r="U118">
        <f>S118-T118</f>
        <v>0</v>
      </c>
    </row>
    <row r="119" spans="2:21" x14ac:dyDescent="0.25">
      <c r="B119" s="73"/>
      <c r="U119">
        <f>S119-T119</f>
        <v>0</v>
      </c>
    </row>
    <row r="120" spans="2:21" x14ac:dyDescent="0.25">
      <c r="B120" s="73"/>
      <c r="U120">
        <f>S120-T120</f>
        <v>0</v>
      </c>
    </row>
    <row r="121" spans="2:21" x14ac:dyDescent="0.25">
      <c r="B121" s="73"/>
      <c r="U121">
        <f>S121-T121</f>
        <v>0</v>
      </c>
    </row>
    <row r="122" spans="2:21" x14ac:dyDescent="0.25">
      <c r="B122" s="73"/>
      <c r="U122">
        <f>S122-T122</f>
        <v>0</v>
      </c>
    </row>
    <row r="123" spans="2:21" x14ac:dyDescent="0.25">
      <c r="B123" s="73"/>
      <c r="U123">
        <f>S123-T123</f>
        <v>0</v>
      </c>
    </row>
    <row r="124" spans="2:21" x14ac:dyDescent="0.25">
      <c r="B124" s="73"/>
      <c r="U124">
        <f>S124-T124</f>
        <v>0</v>
      </c>
    </row>
    <row r="125" spans="2:21" x14ac:dyDescent="0.25">
      <c r="B125" s="73"/>
      <c r="U125">
        <f>S125-T125</f>
        <v>0</v>
      </c>
    </row>
    <row r="126" spans="2:21" x14ac:dyDescent="0.25">
      <c r="B126" s="73"/>
      <c r="U126">
        <f>S126-T126</f>
        <v>0</v>
      </c>
    </row>
    <row r="127" spans="2:21" x14ac:dyDescent="0.25">
      <c r="B127" s="73"/>
      <c r="U127">
        <f>S127-T127</f>
        <v>0</v>
      </c>
    </row>
    <row r="128" spans="2:21" x14ac:dyDescent="0.25">
      <c r="B128" s="73"/>
      <c r="U128">
        <f>S128-T128</f>
        <v>0</v>
      </c>
    </row>
    <row r="129" spans="2:21" x14ac:dyDescent="0.25">
      <c r="B129" s="73"/>
      <c r="U129">
        <f>S129-T129</f>
        <v>0</v>
      </c>
    </row>
    <row r="130" spans="2:21" x14ac:dyDescent="0.25">
      <c r="B130" s="73"/>
      <c r="U130">
        <f>S130-T130</f>
        <v>0</v>
      </c>
    </row>
    <row r="131" spans="2:21" x14ac:dyDescent="0.25">
      <c r="B131" s="73"/>
      <c r="U131">
        <f>S131-T131</f>
        <v>0</v>
      </c>
    </row>
    <row r="132" spans="2:21" x14ac:dyDescent="0.25">
      <c r="B132" s="73"/>
      <c r="U132">
        <f>S132-T132</f>
        <v>0</v>
      </c>
    </row>
    <row r="133" spans="2:21" x14ac:dyDescent="0.25">
      <c r="B133" s="73"/>
      <c r="U133">
        <f>S133-T133</f>
        <v>0</v>
      </c>
    </row>
    <row r="134" spans="2:21" x14ac:dyDescent="0.25">
      <c r="B134" s="73"/>
      <c r="U134">
        <f>S134-T134</f>
        <v>0</v>
      </c>
    </row>
    <row r="135" spans="2:21" x14ac:dyDescent="0.25">
      <c r="B135" s="73"/>
      <c r="U135">
        <f>S135-T135</f>
        <v>0</v>
      </c>
    </row>
    <row r="136" spans="2:21" x14ac:dyDescent="0.25">
      <c r="B136" s="73"/>
      <c r="U136">
        <f>S136-T136</f>
        <v>0</v>
      </c>
    </row>
    <row r="137" spans="2:21" x14ac:dyDescent="0.25">
      <c r="B137" s="73"/>
      <c r="U137">
        <f>S137-T137</f>
        <v>0</v>
      </c>
    </row>
    <row r="138" spans="2:21" x14ac:dyDescent="0.25">
      <c r="B138" s="73"/>
      <c r="U138">
        <f>S138-T138</f>
        <v>0</v>
      </c>
    </row>
    <row r="139" spans="2:21" x14ac:dyDescent="0.25">
      <c r="B139" s="73"/>
      <c r="U139">
        <f>S139-T139</f>
        <v>0</v>
      </c>
    </row>
    <row r="140" spans="2:21" x14ac:dyDescent="0.25">
      <c r="B140" s="73"/>
      <c r="U140">
        <f>S140-T140</f>
        <v>0</v>
      </c>
    </row>
    <row r="141" spans="2:21" x14ac:dyDescent="0.25">
      <c r="B141" s="73"/>
      <c r="U141">
        <f>S141-T141</f>
        <v>0</v>
      </c>
    </row>
    <row r="142" spans="2:21" x14ac:dyDescent="0.25">
      <c r="B142" s="73"/>
      <c r="U142">
        <f>S142-T142</f>
        <v>0</v>
      </c>
    </row>
    <row r="143" spans="2:21" x14ac:dyDescent="0.25">
      <c r="B143" s="73"/>
      <c r="U143">
        <f>S143-T143</f>
        <v>0</v>
      </c>
    </row>
    <row r="144" spans="2:21" x14ac:dyDescent="0.25">
      <c r="B144" s="73"/>
      <c r="U144">
        <f>S144-T144</f>
        <v>0</v>
      </c>
    </row>
    <row r="145" spans="2:21" x14ac:dyDescent="0.25">
      <c r="B145" s="73"/>
      <c r="U145">
        <f>S145-T145</f>
        <v>0</v>
      </c>
    </row>
    <row r="146" spans="2:21" x14ac:dyDescent="0.25">
      <c r="B146" s="73"/>
      <c r="U146">
        <f>S146-T146</f>
        <v>0</v>
      </c>
    </row>
    <row r="147" spans="2:21" x14ac:dyDescent="0.25">
      <c r="B147" s="73"/>
      <c r="U147">
        <f>S147-T147</f>
        <v>0</v>
      </c>
    </row>
    <row r="148" spans="2:21" x14ac:dyDescent="0.25">
      <c r="B148" s="73"/>
      <c r="U148">
        <f>S148-T148</f>
        <v>0</v>
      </c>
    </row>
    <row r="149" spans="2:21" x14ac:dyDescent="0.25">
      <c r="B149" s="73"/>
      <c r="U149">
        <f>S149-T149</f>
        <v>0</v>
      </c>
    </row>
    <row r="150" spans="2:21" x14ac:dyDescent="0.25">
      <c r="B150" s="73"/>
      <c r="U150">
        <f>S150-T150</f>
        <v>0</v>
      </c>
    </row>
    <row r="151" spans="2:21" x14ac:dyDescent="0.25">
      <c r="B151" s="73"/>
      <c r="U151">
        <f>S151-T151</f>
        <v>0</v>
      </c>
    </row>
    <row r="152" spans="2:21" x14ac:dyDescent="0.25">
      <c r="B152" s="73"/>
      <c r="U152">
        <f>S152-T152</f>
        <v>0</v>
      </c>
    </row>
    <row r="153" spans="2:21" x14ac:dyDescent="0.25">
      <c r="B153" s="73"/>
      <c r="U153">
        <f>S153-T153</f>
        <v>0</v>
      </c>
    </row>
    <row r="154" spans="2:21" x14ac:dyDescent="0.25">
      <c r="B154" s="73"/>
      <c r="U154">
        <f>S154-T154</f>
        <v>0</v>
      </c>
    </row>
    <row r="155" spans="2:21" x14ac:dyDescent="0.25">
      <c r="B155" s="73"/>
      <c r="U155">
        <f>S155-T155</f>
        <v>0</v>
      </c>
    </row>
    <row r="156" spans="2:21" x14ac:dyDescent="0.25">
      <c r="B156" s="73"/>
      <c r="U156">
        <f>S156-T156</f>
        <v>0</v>
      </c>
    </row>
    <row r="157" spans="2:21" x14ac:dyDescent="0.25">
      <c r="B157" s="73"/>
      <c r="U157">
        <f>S157-T157</f>
        <v>0</v>
      </c>
    </row>
    <row r="158" spans="2:21" x14ac:dyDescent="0.25">
      <c r="B158" s="73"/>
      <c r="U158">
        <f>S158-T158</f>
        <v>0</v>
      </c>
    </row>
    <row r="159" spans="2:21" x14ac:dyDescent="0.25">
      <c r="B159" s="73"/>
      <c r="U159">
        <f>S159-T159</f>
        <v>0</v>
      </c>
    </row>
    <row r="160" spans="2:21" x14ac:dyDescent="0.25">
      <c r="B160" s="73"/>
      <c r="U160">
        <f>S160-T160</f>
        <v>0</v>
      </c>
    </row>
    <row r="161" spans="2:21" x14ac:dyDescent="0.25">
      <c r="B161" s="73"/>
      <c r="U161">
        <f>S161-T161</f>
        <v>0</v>
      </c>
    </row>
    <row r="162" spans="2:21" x14ac:dyDescent="0.25">
      <c r="B162" s="73"/>
      <c r="U162">
        <f>S162-T162</f>
        <v>0</v>
      </c>
    </row>
    <row r="163" spans="2:21" x14ac:dyDescent="0.25">
      <c r="B163" s="73"/>
      <c r="U163">
        <f>S163-T163</f>
        <v>0</v>
      </c>
    </row>
    <row r="164" spans="2:21" x14ac:dyDescent="0.25">
      <c r="B164" s="73"/>
      <c r="U164">
        <f>S164-T164</f>
        <v>0</v>
      </c>
    </row>
    <row r="165" spans="2:21" x14ac:dyDescent="0.25">
      <c r="B165" s="73"/>
      <c r="U165">
        <f>S165-T165</f>
        <v>0</v>
      </c>
    </row>
    <row r="166" spans="2:21" x14ac:dyDescent="0.25">
      <c r="B166" s="73"/>
      <c r="U166">
        <f>S166-T166</f>
        <v>0</v>
      </c>
    </row>
    <row r="167" spans="2:21" x14ac:dyDescent="0.25">
      <c r="B167" s="73"/>
      <c r="U167">
        <f>S167-T167</f>
        <v>0</v>
      </c>
    </row>
    <row r="168" spans="2:21" x14ac:dyDescent="0.25">
      <c r="B168" s="73"/>
      <c r="U168">
        <f>S168-T168</f>
        <v>0</v>
      </c>
    </row>
    <row r="169" spans="2:21" x14ac:dyDescent="0.25">
      <c r="B169" s="73"/>
      <c r="U169">
        <f>S169-T169</f>
        <v>0</v>
      </c>
    </row>
    <row r="170" spans="2:21" x14ac:dyDescent="0.25">
      <c r="B170" s="73"/>
      <c r="U170">
        <f>S170-T170</f>
        <v>0</v>
      </c>
    </row>
    <row r="171" spans="2:21" x14ac:dyDescent="0.25">
      <c r="B171" s="73"/>
      <c r="U171">
        <f>S171-T171</f>
        <v>0</v>
      </c>
    </row>
    <row r="172" spans="2:21" x14ac:dyDescent="0.25">
      <c r="B172" s="73"/>
      <c r="U172">
        <f>S172-T172</f>
        <v>0</v>
      </c>
    </row>
    <row r="173" spans="2:21" x14ac:dyDescent="0.25">
      <c r="B173" s="73"/>
      <c r="U173">
        <f>S173-T173</f>
        <v>0</v>
      </c>
    </row>
    <row r="174" spans="2:21" x14ac:dyDescent="0.25">
      <c r="B174" s="73"/>
      <c r="U174">
        <f>S174-T174</f>
        <v>0</v>
      </c>
    </row>
    <row r="175" spans="2:21" x14ac:dyDescent="0.25">
      <c r="B175" s="73"/>
      <c r="U175">
        <f>S175-T175</f>
        <v>0</v>
      </c>
    </row>
    <row r="176" spans="2:21" x14ac:dyDescent="0.25">
      <c r="B176" s="73"/>
      <c r="U176">
        <f>S176-T176</f>
        <v>0</v>
      </c>
    </row>
    <row r="177" spans="2:21" x14ac:dyDescent="0.25">
      <c r="B177" s="73"/>
      <c r="U177">
        <f>S177-T177</f>
        <v>0</v>
      </c>
    </row>
    <row r="178" spans="2:21" x14ac:dyDescent="0.25">
      <c r="B178" s="73"/>
      <c r="U178">
        <f>S178-T178</f>
        <v>0</v>
      </c>
    </row>
    <row r="179" spans="2:21" x14ac:dyDescent="0.25">
      <c r="B179" s="73"/>
      <c r="U179">
        <f>S179-T179</f>
        <v>0</v>
      </c>
    </row>
    <row r="180" spans="2:21" x14ac:dyDescent="0.25">
      <c r="B180" s="73"/>
      <c r="U180">
        <f>S180-T180</f>
        <v>0</v>
      </c>
    </row>
    <row r="181" spans="2:21" x14ac:dyDescent="0.25">
      <c r="B181" s="73"/>
      <c r="U181">
        <f>S181-T181</f>
        <v>0</v>
      </c>
    </row>
    <row r="182" spans="2:21" x14ac:dyDescent="0.25">
      <c r="B182" s="73"/>
      <c r="U182">
        <f>S182-T182</f>
        <v>0</v>
      </c>
    </row>
    <row r="183" spans="2:21" x14ac:dyDescent="0.25">
      <c r="B183" s="73"/>
      <c r="U183">
        <f>S183-T183</f>
        <v>0</v>
      </c>
    </row>
    <row r="184" spans="2:21" x14ac:dyDescent="0.25">
      <c r="B184" s="73"/>
      <c r="U184">
        <f>S184-T184</f>
        <v>0</v>
      </c>
    </row>
    <row r="185" spans="2:21" x14ac:dyDescent="0.25">
      <c r="B185" s="73"/>
      <c r="U185">
        <f>S185-T185</f>
        <v>0</v>
      </c>
    </row>
    <row r="186" spans="2:21" x14ac:dyDescent="0.25">
      <c r="B186" s="73"/>
      <c r="U186">
        <f>S186-T186</f>
        <v>0</v>
      </c>
    </row>
    <row r="187" spans="2:21" x14ac:dyDescent="0.25">
      <c r="B187" s="73"/>
      <c r="U187">
        <f>S187-T187</f>
        <v>0</v>
      </c>
    </row>
    <row r="188" spans="2:21" x14ac:dyDescent="0.25">
      <c r="B188" s="73"/>
      <c r="U188">
        <f>S188-T188</f>
        <v>0</v>
      </c>
    </row>
    <row r="189" spans="2:21" x14ac:dyDescent="0.25">
      <c r="B189" s="73"/>
      <c r="U189">
        <f>S189-T189</f>
        <v>0</v>
      </c>
    </row>
    <row r="190" spans="2:21" x14ac:dyDescent="0.25">
      <c r="B190" s="73"/>
      <c r="U190">
        <f>S190-T190</f>
        <v>0</v>
      </c>
    </row>
    <row r="191" spans="2:21" x14ac:dyDescent="0.25">
      <c r="B191" s="73"/>
      <c r="U191">
        <f>S191-T191</f>
        <v>0</v>
      </c>
    </row>
    <row r="192" spans="2:21" x14ac:dyDescent="0.25">
      <c r="B192" s="73"/>
      <c r="U192">
        <f>S192-T192</f>
        <v>0</v>
      </c>
    </row>
    <row r="193" spans="2:21" x14ac:dyDescent="0.25">
      <c r="B193" s="73"/>
      <c r="U193">
        <f>S193-T193</f>
        <v>0</v>
      </c>
    </row>
    <row r="194" spans="2:21" x14ac:dyDescent="0.25">
      <c r="B194" s="73"/>
      <c r="U194">
        <f>S194-T194</f>
        <v>0</v>
      </c>
    </row>
    <row r="195" spans="2:21" x14ac:dyDescent="0.25">
      <c r="B195" s="73"/>
      <c r="U195">
        <f>S195-T195</f>
        <v>0</v>
      </c>
    </row>
    <row r="196" spans="2:21" x14ac:dyDescent="0.25">
      <c r="B196" s="73"/>
      <c r="U196">
        <f>S196-T196</f>
        <v>0</v>
      </c>
    </row>
    <row r="197" spans="2:21" x14ac:dyDescent="0.25">
      <c r="B197" s="73"/>
      <c r="U197">
        <f>S197-T197</f>
        <v>0</v>
      </c>
    </row>
    <row r="198" spans="2:21" x14ac:dyDescent="0.25">
      <c r="B198" s="73"/>
      <c r="U198">
        <f>S198-T198</f>
        <v>0</v>
      </c>
    </row>
    <row r="199" spans="2:21" x14ac:dyDescent="0.25">
      <c r="B199" s="73"/>
      <c r="U199">
        <f>S199-T199</f>
        <v>0</v>
      </c>
    </row>
    <row r="200" spans="2:21" x14ac:dyDescent="0.25">
      <c r="B200" s="73"/>
      <c r="U200">
        <f>S200-T200</f>
        <v>0</v>
      </c>
    </row>
    <row r="201" spans="2:21" x14ac:dyDescent="0.25">
      <c r="B201" s="73"/>
      <c r="U201">
        <f>S201-T201</f>
        <v>0</v>
      </c>
    </row>
    <row r="202" spans="2:21" x14ac:dyDescent="0.25">
      <c r="B202" s="73"/>
      <c r="U202">
        <f>S202-T202</f>
        <v>0</v>
      </c>
    </row>
    <row r="203" spans="2:21" x14ac:dyDescent="0.25">
      <c r="B203" s="73"/>
      <c r="U203">
        <f>S203-T203</f>
        <v>0</v>
      </c>
    </row>
    <row r="204" spans="2:21" x14ac:dyDescent="0.25">
      <c r="B204" s="73"/>
      <c r="U204">
        <f>S204-T204</f>
        <v>0</v>
      </c>
    </row>
    <row r="205" spans="2:21" x14ac:dyDescent="0.25">
      <c r="B205" s="73"/>
      <c r="U205">
        <f>S205-T205</f>
        <v>0</v>
      </c>
    </row>
    <row r="206" spans="2:21" x14ac:dyDescent="0.25">
      <c r="B206" s="73"/>
      <c r="U206">
        <f>S206-T206</f>
        <v>0</v>
      </c>
    </row>
    <row r="207" spans="2:21" x14ac:dyDescent="0.25">
      <c r="B207" s="73"/>
      <c r="U207">
        <f>S207-T207</f>
        <v>0</v>
      </c>
    </row>
    <row r="208" spans="2:21" x14ac:dyDescent="0.25">
      <c r="B208" s="73"/>
      <c r="U208">
        <f>S208-T208</f>
        <v>0</v>
      </c>
    </row>
    <row r="209" spans="2:21" x14ac:dyDescent="0.25">
      <c r="B209" s="73"/>
      <c r="U209">
        <f>S209-T209</f>
        <v>0</v>
      </c>
    </row>
    <row r="210" spans="2:21" x14ac:dyDescent="0.25">
      <c r="B210" s="73"/>
      <c r="U210">
        <f>S210-T210</f>
        <v>0</v>
      </c>
    </row>
    <row r="211" spans="2:21" x14ac:dyDescent="0.25">
      <c r="B211" s="73"/>
      <c r="U211">
        <f>S211-T211</f>
        <v>0</v>
      </c>
    </row>
    <row r="212" spans="2:21" x14ac:dyDescent="0.25">
      <c r="B212" s="73"/>
      <c r="U212">
        <f>S212-T212</f>
        <v>0</v>
      </c>
    </row>
    <row r="213" spans="2:21" x14ac:dyDescent="0.25">
      <c r="B213" s="73"/>
      <c r="U213">
        <f>S213-T213</f>
        <v>0</v>
      </c>
    </row>
    <row r="214" spans="2:21" x14ac:dyDescent="0.25">
      <c r="B214" s="73"/>
      <c r="U214">
        <f>S214-T214</f>
        <v>0</v>
      </c>
    </row>
    <row r="215" spans="2:21" x14ac:dyDescent="0.25">
      <c r="B215" s="73"/>
      <c r="U215">
        <f>S215-T215</f>
        <v>0</v>
      </c>
    </row>
    <row r="216" spans="2:21" x14ac:dyDescent="0.25">
      <c r="B216" s="73"/>
      <c r="U216">
        <f>S216-T216</f>
        <v>0</v>
      </c>
    </row>
    <row r="217" spans="2:21" x14ac:dyDescent="0.25">
      <c r="B217" s="73"/>
      <c r="U217">
        <f>S217-T217</f>
        <v>0</v>
      </c>
    </row>
    <row r="218" spans="2:21" x14ac:dyDescent="0.25">
      <c r="B218" s="73"/>
      <c r="U218">
        <f>S218-T218</f>
        <v>0</v>
      </c>
    </row>
    <row r="219" spans="2:21" x14ac:dyDescent="0.25">
      <c r="B219" s="73"/>
      <c r="U219">
        <f>S219-T219</f>
        <v>0</v>
      </c>
    </row>
    <row r="220" spans="2:21" x14ac:dyDescent="0.25">
      <c r="B220" s="73"/>
      <c r="U220">
        <f>S220-T220</f>
        <v>0</v>
      </c>
    </row>
    <row r="221" spans="2:21" x14ac:dyDescent="0.25">
      <c r="B221" s="73"/>
      <c r="U221">
        <f>S221-T221</f>
        <v>0</v>
      </c>
    </row>
    <row r="222" spans="2:21" x14ac:dyDescent="0.25">
      <c r="B222" s="73"/>
      <c r="U222">
        <f>S222-T222</f>
        <v>0</v>
      </c>
    </row>
    <row r="223" spans="2:21" x14ac:dyDescent="0.25">
      <c r="B223" s="73"/>
      <c r="U223">
        <f>S223-T223</f>
        <v>0</v>
      </c>
    </row>
    <row r="224" spans="2:21" x14ac:dyDescent="0.25">
      <c r="B224" s="73"/>
      <c r="U224">
        <f>S224-T224</f>
        <v>0</v>
      </c>
    </row>
    <row r="225" spans="2:21" x14ac:dyDescent="0.25">
      <c r="B225" s="73"/>
      <c r="U225">
        <f>S225-T225</f>
        <v>0</v>
      </c>
    </row>
    <row r="226" spans="2:21" x14ac:dyDescent="0.25">
      <c r="B226" s="73"/>
      <c r="U226">
        <f>S226-T226</f>
        <v>0</v>
      </c>
    </row>
    <row r="227" spans="2:21" x14ac:dyDescent="0.25">
      <c r="B227" s="73"/>
      <c r="U227">
        <f>S227-T227</f>
        <v>0</v>
      </c>
    </row>
    <row r="228" spans="2:21" x14ac:dyDescent="0.25">
      <c r="B228" s="73"/>
      <c r="U228">
        <f>S228-T228</f>
        <v>0</v>
      </c>
    </row>
    <row r="229" spans="2:21" x14ac:dyDescent="0.25">
      <c r="B229" s="73"/>
      <c r="U229">
        <f>S229-T229</f>
        <v>0</v>
      </c>
    </row>
    <row r="230" spans="2:21" x14ac:dyDescent="0.25">
      <c r="B230" s="73"/>
      <c r="U230">
        <f>S230-T230</f>
        <v>0</v>
      </c>
    </row>
    <row r="231" spans="2:21" x14ac:dyDescent="0.25">
      <c r="B231" s="73"/>
      <c r="U231">
        <f>S231-T231</f>
        <v>0</v>
      </c>
    </row>
    <row r="232" spans="2:21" x14ac:dyDescent="0.25">
      <c r="B232" s="73"/>
      <c r="U232">
        <f>S232-T232</f>
        <v>0</v>
      </c>
    </row>
    <row r="233" spans="2:21" x14ac:dyDescent="0.25">
      <c r="B233" s="73"/>
      <c r="U233">
        <f>S233-T233</f>
        <v>0</v>
      </c>
    </row>
    <row r="234" spans="2:21" x14ac:dyDescent="0.25">
      <c r="B234" s="73"/>
      <c r="U234">
        <f>S234-T234</f>
        <v>0</v>
      </c>
    </row>
    <row r="235" spans="2:21" x14ac:dyDescent="0.25">
      <c r="B235" s="73"/>
      <c r="U235">
        <f>S235-T235</f>
        <v>0</v>
      </c>
    </row>
    <row r="236" spans="2:21" x14ac:dyDescent="0.25">
      <c r="B236" s="73"/>
      <c r="U236">
        <f>S236-T236</f>
        <v>0</v>
      </c>
    </row>
    <row r="237" spans="2:21" x14ac:dyDescent="0.25">
      <c r="B237" s="73"/>
      <c r="U237">
        <f>S237-T237</f>
        <v>0</v>
      </c>
    </row>
    <row r="238" spans="2:21" x14ac:dyDescent="0.25">
      <c r="B238" s="73"/>
      <c r="U238">
        <f>S238-T238</f>
        <v>0</v>
      </c>
    </row>
    <row r="239" spans="2:21" x14ac:dyDescent="0.25">
      <c r="B239" s="73"/>
      <c r="U239">
        <f>S239-T239</f>
        <v>0</v>
      </c>
    </row>
    <row r="240" spans="2:21" x14ac:dyDescent="0.25">
      <c r="B240" s="73"/>
      <c r="U240">
        <f>S240-T240</f>
        <v>0</v>
      </c>
    </row>
    <row r="241" spans="2:21" x14ac:dyDescent="0.25">
      <c r="B241" s="73"/>
      <c r="U241">
        <f>S241-T241</f>
        <v>0</v>
      </c>
    </row>
    <row r="242" spans="2:21" x14ac:dyDescent="0.25">
      <c r="B242" s="73"/>
      <c r="U242">
        <f>S242-T242</f>
        <v>0</v>
      </c>
    </row>
    <row r="243" spans="2:21" x14ac:dyDescent="0.25">
      <c r="B243" s="73"/>
      <c r="U243">
        <f>S243-T243</f>
        <v>0</v>
      </c>
    </row>
    <row r="244" spans="2:21" x14ac:dyDescent="0.25">
      <c r="B244" s="73"/>
      <c r="U244">
        <f>S244-T244</f>
        <v>0</v>
      </c>
    </row>
    <row r="245" spans="2:21" x14ac:dyDescent="0.25">
      <c r="B245" s="73"/>
      <c r="U245">
        <f>S245-T245</f>
        <v>0</v>
      </c>
    </row>
    <row r="246" spans="2:21" x14ac:dyDescent="0.25">
      <c r="B246" s="73"/>
      <c r="U246">
        <f>S246-T246</f>
        <v>0</v>
      </c>
    </row>
    <row r="247" spans="2:21" x14ac:dyDescent="0.25">
      <c r="B247" s="73"/>
      <c r="U247">
        <f>S247-T247</f>
        <v>0</v>
      </c>
    </row>
    <row r="248" spans="2:21" x14ac:dyDescent="0.25">
      <c r="B248" s="73"/>
      <c r="U248">
        <f>S248-T248</f>
        <v>0</v>
      </c>
    </row>
    <row r="249" spans="2:21" x14ac:dyDescent="0.25">
      <c r="B249" s="73"/>
      <c r="U249">
        <f>S249-T249</f>
        <v>0</v>
      </c>
    </row>
    <row r="250" spans="2:21" x14ac:dyDescent="0.25">
      <c r="B250" s="73"/>
      <c r="U250">
        <f>S250-T250</f>
        <v>0</v>
      </c>
    </row>
    <row r="251" spans="2:21" x14ac:dyDescent="0.25">
      <c r="B251" s="73"/>
      <c r="U251">
        <f>S251-T251</f>
        <v>0</v>
      </c>
    </row>
    <row r="252" spans="2:21" x14ac:dyDescent="0.25">
      <c r="B252" s="73"/>
      <c r="U252">
        <f>S252-T252</f>
        <v>0</v>
      </c>
    </row>
    <row r="253" spans="2:21" x14ac:dyDescent="0.25">
      <c r="B253" s="73"/>
      <c r="U253">
        <f>S253-T253</f>
        <v>0</v>
      </c>
    </row>
    <row r="254" spans="2:21" x14ac:dyDescent="0.25">
      <c r="B254" s="73"/>
      <c r="U254">
        <f>S254-T254</f>
        <v>0</v>
      </c>
    </row>
    <row r="255" spans="2:21" x14ac:dyDescent="0.25">
      <c r="B255" s="73"/>
      <c r="U255">
        <f>S255-T255</f>
        <v>0</v>
      </c>
    </row>
    <row r="256" spans="2:21" x14ac:dyDescent="0.25">
      <c r="B256" s="73"/>
      <c r="U256">
        <f>S256-T256</f>
        <v>0</v>
      </c>
    </row>
    <row r="257" spans="2:21" x14ac:dyDescent="0.25">
      <c r="B257" s="73"/>
      <c r="U257">
        <f>S257-T257</f>
        <v>0</v>
      </c>
    </row>
    <row r="258" spans="2:21" x14ac:dyDescent="0.25">
      <c r="B258" s="73"/>
      <c r="U258">
        <f>S258-T258</f>
        <v>0</v>
      </c>
    </row>
    <row r="259" spans="2:21" x14ac:dyDescent="0.25">
      <c r="B259" s="73"/>
      <c r="U259">
        <f>S259-T259</f>
        <v>0</v>
      </c>
    </row>
    <row r="260" spans="2:21" x14ac:dyDescent="0.25">
      <c r="B260" s="73"/>
      <c r="U260">
        <f>S260-T260</f>
        <v>0</v>
      </c>
    </row>
    <row r="261" spans="2:21" x14ac:dyDescent="0.25">
      <c r="B261" s="73"/>
      <c r="U261">
        <f>S261-T261</f>
        <v>0</v>
      </c>
    </row>
    <row r="262" spans="2:21" x14ac:dyDescent="0.25">
      <c r="B262" s="73"/>
      <c r="U262">
        <f>S262-T262</f>
        <v>0</v>
      </c>
    </row>
    <row r="263" spans="2:21" x14ac:dyDescent="0.25">
      <c r="B263" s="73"/>
      <c r="U263">
        <f>S263-T263</f>
        <v>0</v>
      </c>
    </row>
    <row r="264" spans="2:21" x14ac:dyDescent="0.25">
      <c r="B264" s="73"/>
      <c r="U264">
        <f>S264-T264</f>
        <v>0</v>
      </c>
    </row>
    <row r="265" spans="2:21" x14ac:dyDescent="0.25">
      <c r="B265" s="73"/>
      <c r="U265">
        <f>S265-T265</f>
        <v>0</v>
      </c>
    </row>
    <row r="266" spans="2:21" x14ac:dyDescent="0.25">
      <c r="B266" s="73"/>
      <c r="U266">
        <f>S266-T266</f>
        <v>0</v>
      </c>
    </row>
    <row r="267" spans="2:21" x14ac:dyDescent="0.25">
      <c r="B267" s="73"/>
      <c r="U267">
        <f>S267-T267</f>
        <v>0</v>
      </c>
    </row>
    <row r="268" spans="2:21" x14ac:dyDescent="0.25">
      <c r="B268" s="73"/>
      <c r="U268">
        <f>S268-T268</f>
        <v>0</v>
      </c>
    </row>
    <row r="269" spans="2:21" x14ac:dyDescent="0.25">
      <c r="B269" s="73"/>
      <c r="U269">
        <f>S269-T269</f>
        <v>0</v>
      </c>
    </row>
    <row r="270" spans="2:21" x14ac:dyDescent="0.25">
      <c r="B270" s="73"/>
      <c r="U270">
        <f>S270-T270</f>
        <v>0</v>
      </c>
    </row>
    <row r="271" spans="2:21" x14ac:dyDescent="0.25">
      <c r="B271" s="73"/>
      <c r="U271">
        <f>S271-T271</f>
        <v>0</v>
      </c>
    </row>
    <row r="272" spans="2:21" x14ac:dyDescent="0.25">
      <c r="B272" s="73"/>
      <c r="U272">
        <f>S272-T272</f>
        <v>0</v>
      </c>
    </row>
    <row r="273" spans="2:21" x14ac:dyDescent="0.25">
      <c r="B273" s="73"/>
      <c r="U273">
        <f>S273-T273</f>
        <v>0</v>
      </c>
    </row>
    <row r="274" spans="2:21" x14ac:dyDescent="0.25">
      <c r="B274" s="73"/>
      <c r="U274">
        <f>S274-T274</f>
        <v>0</v>
      </c>
    </row>
    <row r="275" spans="2:21" x14ac:dyDescent="0.25">
      <c r="B275" s="73"/>
      <c r="U275">
        <f>S275-T275</f>
        <v>0</v>
      </c>
    </row>
    <row r="276" spans="2:21" x14ac:dyDescent="0.25">
      <c r="B276" s="73"/>
      <c r="U276">
        <f>S276-T276</f>
        <v>0</v>
      </c>
    </row>
    <row r="277" spans="2:21" x14ac:dyDescent="0.25">
      <c r="B277" s="73"/>
      <c r="U277">
        <f>S277-T277</f>
        <v>0</v>
      </c>
    </row>
    <row r="278" spans="2:21" x14ac:dyDescent="0.25">
      <c r="B278" s="73"/>
      <c r="U278">
        <f>S278-T278</f>
        <v>0</v>
      </c>
    </row>
    <row r="279" spans="2:21" x14ac:dyDescent="0.25">
      <c r="B279" s="73"/>
      <c r="U279">
        <f>S279-T279</f>
        <v>0</v>
      </c>
    </row>
    <row r="280" spans="2:21" x14ac:dyDescent="0.25">
      <c r="B280" s="73"/>
      <c r="U280">
        <f>S280-T280</f>
        <v>0</v>
      </c>
    </row>
    <row r="281" spans="2:21" x14ac:dyDescent="0.25">
      <c r="B281" s="73"/>
      <c r="U281">
        <f>S281-T281</f>
        <v>0</v>
      </c>
    </row>
    <row r="282" spans="2:21" x14ac:dyDescent="0.25">
      <c r="B282" s="73"/>
      <c r="U282">
        <f>S282-T282</f>
        <v>0</v>
      </c>
    </row>
    <row r="283" spans="2:21" x14ac:dyDescent="0.25">
      <c r="B283" s="73"/>
      <c r="U283">
        <f>S283-T283</f>
        <v>0</v>
      </c>
    </row>
    <row r="284" spans="2:21" x14ac:dyDescent="0.25">
      <c r="B284" s="73"/>
      <c r="U284">
        <f>S284-T284</f>
        <v>0</v>
      </c>
    </row>
    <row r="285" spans="2:21" x14ac:dyDescent="0.25">
      <c r="B285" s="73"/>
      <c r="U285">
        <f>S285-T285</f>
        <v>0</v>
      </c>
    </row>
    <row r="286" spans="2:21" x14ac:dyDescent="0.25">
      <c r="B286" s="73"/>
      <c r="U286">
        <f>S286-T286</f>
        <v>0</v>
      </c>
    </row>
    <row r="287" spans="2:21" x14ac:dyDescent="0.25">
      <c r="B287" s="73"/>
      <c r="U287">
        <f>S287-T287</f>
        <v>0</v>
      </c>
    </row>
    <row r="288" spans="2:21" x14ac:dyDescent="0.25">
      <c r="B288" s="73"/>
      <c r="U288">
        <f>S288-T288</f>
        <v>0</v>
      </c>
    </row>
    <row r="289" spans="2:21" x14ac:dyDescent="0.25">
      <c r="B289" s="73"/>
      <c r="U289">
        <f>S289-T289</f>
        <v>0</v>
      </c>
    </row>
    <row r="290" spans="2:21" x14ac:dyDescent="0.25">
      <c r="B290" s="73"/>
      <c r="U290">
        <f>S290-T290</f>
        <v>0</v>
      </c>
    </row>
    <row r="291" spans="2:21" x14ac:dyDescent="0.25">
      <c r="B291" s="73"/>
      <c r="U291">
        <f>S291-T291</f>
        <v>0</v>
      </c>
    </row>
    <row r="292" spans="2:21" x14ac:dyDescent="0.25">
      <c r="B292" s="73"/>
      <c r="U292">
        <f>S292-T292</f>
        <v>0</v>
      </c>
    </row>
    <row r="293" spans="2:21" x14ac:dyDescent="0.25">
      <c r="B293" s="73"/>
      <c r="U293">
        <f>S293-T293</f>
        <v>0</v>
      </c>
    </row>
    <row r="294" spans="2:21" x14ac:dyDescent="0.25">
      <c r="B294" s="73"/>
      <c r="U294">
        <f>S294-T294</f>
        <v>0</v>
      </c>
    </row>
    <row r="295" spans="2:21" x14ac:dyDescent="0.25">
      <c r="B295" s="73"/>
      <c r="U295">
        <f>S295-T295</f>
        <v>0</v>
      </c>
    </row>
    <row r="296" spans="2:21" x14ac:dyDescent="0.25">
      <c r="B296" s="73"/>
      <c r="U296">
        <f>S296-T296</f>
        <v>0</v>
      </c>
    </row>
    <row r="297" spans="2:21" x14ac:dyDescent="0.25">
      <c r="B297" s="73"/>
      <c r="U297">
        <f>S297-T297</f>
        <v>0</v>
      </c>
    </row>
    <row r="298" spans="2:21" x14ac:dyDescent="0.25">
      <c r="B298" s="73"/>
      <c r="U298">
        <f>S298-T298</f>
        <v>0</v>
      </c>
    </row>
    <row r="299" spans="2:21" x14ac:dyDescent="0.25">
      <c r="B299" s="73"/>
      <c r="U299">
        <f>S299-T299</f>
        <v>0</v>
      </c>
    </row>
    <row r="300" spans="2:21" x14ac:dyDescent="0.25">
      <c r="B300" s="73"/>
      <c r="U300">
        <f>S300-T300</f>
        <v>0</v>
      </c>
    </row>
    <row r="301" spans="2:21" x14ac:dyDescent="0.25">
      <c r="B301" s="73"/>
      <c r="U301">
        <f>S301-T301</f>
        <v>0</v>
      </c>
    </row>
    <row r="302" spans="2:21" x14ac:dyDescent="0.25">
      <c r="B302" s="73"/>
      <c r="U302">
        <f>S302-T302</f>
        <v>0</v>
      </c>
    </row>
    <row r="303" spans="2:21" x14ac:dyDescent="0.25">
      <c r="B303" s="73"/>
      <c r="U303">
        <f>S303-T303</f>
        <v>0</v>
      </c>
    </row>
    <row r="304" spans="2:21" x14ac:dyDescent="0.25">
      <c r="B304" s="73"/>
      <c r="U304">
        <f>S304-T304</f>
        <v>0</v>
      </c>
    </row>
    <row r="305" spans="2:21" x14ac:dyDescent="0.25">
      <c r="B305" s="73"/>
      <c r="U305">
        <f>S305-T305</f>
        <v>0</v>
      </c>
    </row>
    <row r="306" spans="2:21" x14ac:dyDescent="0.25">
      <c r="B306" s="73"/>
      <c r="U306">
        <f>S306-T306</f>
        <v>0</v>
      </c>
    </row>
    <row r="307" spans="2:21" x14ac:dyDescent="0.25">
      <c r="B307" s="73"/>
      <c r="U307">
        <f>S307-T307</f>
        <v>0</v>
      </c>
    </row>
    <row r="308" spans="2:21" x14ac:dyDescent="0.25">
      <c r="B308" s="73"/>
      <c r="U308">
        <f>S308-T308</f>
        <v>0</v>
      </c>
    </row>
    <row r="309" spans="2:21" x14ac:dyDescent="0.25">
      <c r="B309" s="73"/>
      <c r="U309">
        <f>S309-T309</f>
        <v>0</v>
      </c>
    </row>
    <row r="310" spans="2:21" x14ac:dyDescent="0.25">
      <c r="B310" s="73"/>
      <c r="U310">
        <f>S310-T310</f>
        <v>0</v>
      </c>
    </row>
    <row r="311" spans="2:21" x14ac:dyDescent="0.25">
      <c r="B311" s="73"/>
      <c r="U311">
        <f>S311-T311</f>
        <v>0</v>
      </c>
    </row>
    <row r="312" spans="2:21" x14ac:dyDescent="0.25">
      <c r="B312" s="73"/>
      <c r="U312">
        <f>S312-T312</f>
        <v>0</v>
      </c>
    </row>
    <row r="313" spans="2:21" x14ac:dyDescent="0.25">
      <c r="B313" s="73"/>
      <c r="U313">
        <f>S313-T313</f>
        <v>0</v>
      </c>
    </row>
    <row r="314" spans="2:21" x14ac:dyDescent="0.25">
      <c r="B314" s="73"/>
      <c r="U314">
        <f>S314-T314</f>
        <v>0</v>
      </c>
    </row>
    <row r="315" spans="2:21" x14ac:dyDescent="0.25">
      <c r="B315" s="73"/>
      <c r="U315">
        <f>S315-T315</f>
        <v>0</v>
      </c>
    </row>
    <row r="316" spans="2:21" x14ac:dyDescent="0.25">
      <c r="B316" s="73"/>
      <c r="U316">
        <f>S316-T316</f>
        <v>0</v>
      </c>
    </row>
    <row r="317" spans="2:21" x14ac:dyDescent="0.25">
      <c r="B317" s="73"/>
      <c r="U317">
        <f>S317-T317</f>
        <v>0</v>
      </c>
    </row>
    <row r="318" spans="2:21" x14ac:dyDescent="0.25">
      <c r="B318" s="73"/>
      <c r="U318">
        <f>S318-T318</f>
        <v>0</v>
      </c>
    </row>
    <row r="319" spans="2:21" x14ac:dyDescent="0.25">
      <c r="B319" s="73"/>
      <c r="U319">
        <f>S319-T319</f>
        <v>0</v>
      </c>
    </row>
    <row r="320" spans="2:21" x14ac:dyDescent="0.25">
      <c r="B320" s="73"/>
      <c r="U320">
        <f>S320-T320</f>
        <v>0</v>
      </c>
    </row>
    <row r="321" spans="2:21" x14ac:dyDescent="0.25">
      <c r="B321" s="73"/>
      <c r="U321">
        <f>S321-T321</f>
        <v>0</v>
      </c>
    </row>
    <row r="322" spans="2:21" x14ac:dyDescent="0.25">
      <c r="B322" s="73"/>
      <c r="U322">
        <f>S322-T322</f>
        <v>0</v>
      </c>
    </row>
    <row r="323" spans="2:21" x14ac:dyDescent="0.25">
      <c r="B323" s="73"/>
      <c r="U323">
        <f>S323-T323</f>
        <v>0</v>
      </c>
    </row>
    <row r="324" spans="2:21" x14ac:dyDescent="0.25">
      <c r="B324" s="73"/>
      <c r="U324">
        <f>S324-T324</f>
        <v>0</v>
      </c>
    </row>
    <row r="325" spans="2:21" x14ac:dyDescent="0.25">
      <c r="B325" s="73"/>
      <c r="U325">
        <f>S325-T325</f>
        <v>0</v>
      </c>
    </row>
    <row r="326" spans="2:21" x14ac:dyDescent="0.25">
      <c r="B326" s="73"/>
      <c r="U326">
        <f>S326-T326</f>
        <v>0</v>
      </c>
    </row>
    <row r="327" spans="2:21" x14ac:dyDescent="0.25">
      <c r="B327" s="73"/>
      <c r="U327">
        <f>S327-T327</f>
        <v>0</v>
      </c>
    </row>
    <row r="328" spans="2:21" x14ac:dyDescent="0.25">
      <c r="B328" s="73"/>
      <c r="U328">
        <f>S328-T328</f>
        <v>0</v>
      </c>
    </row>
    <row r="329" spans="2:21" x14ac:dyDescent="0.25">
      <c r="B329" s="73"/>
      <c r="U329">
        <f>S329-T329</f>
        <v>0</v>
      </c>
    </row>
    <row r="330" spans="2:21" x14ac:dyDescent="0.25">
      <c r="B330" s="73"/>
      <c r="U330">
        <f>S330-T330</f>
        <v>0</v>
      </c>
    </row>
    <row r="331" spans="2:21" x14ac:dyDescent="0.25">
      <c r="B331" s="73"/>
      <c r="U331">
        <f>S331-T331</f>
        <v>0</v>
      </c>
    </row>
    <row r="332" spans="2:21" x14ac:dyDescent="0.25">
      <c r="B332" s="73"/>
      <c r="U332">
        <f>S332-T332</f>
        <v>0</v>
      </c>
    </row>
    <row r="333" spans="2:21" x14ac:dyDescent="0.25">
      <c r="B333" s="73"/>
      <c r="U333">
        <f>S333-T333</f>
        <v>0</v>
      </c>
    </row>
    <row r="334" spans="2:21" x14ac:dyDescent="0.25">
      <c r="B334" s="73"/>
      <c r="U334">
        <f>S334-T334</f>
        <v>0</v>
      </c>
    </row>
    <row r="335" spans="2:21" x14ac:dyDescent="0.25">
      <c r="B335" s="73"/>
      <c r="U335">
        <f>S335-T335</f>
        <v>0</v>
      </c>
    </row>
    <row r="336" spans="2:21" x14ac:dyDescent="0.25">
      <c r="B336" s="73"/>
      <c r="U336">
        <f>S336-T336</f>
        <v>0</v>
      </c>
    </row>
    <row r="337" spans="2:21" x14ac:dyDescent="0.25">
      <c r="B337" s="73"/>
      <c r="U337">
        <f>S337-T337</f>
        <v>0</v>
      </c>
    </row>
    <row r="338" spans="2:21" x14ac:dyDescent="0.25">
      <c r="B338" s="73"/>
      <c r="U338">
        <f>S338-T338</f>
        <v>0</v>
      </c>
    </row>
    <row r="339" spans="2:21" x14ac:dyDescent="0.25">
      <c r="B339" s="73"/>
      <c r="U339">
        <f>S339-T339</f>
        <v>0</v>
      </c>
    </row>
    <row r="340" spans="2:21" x14ac:dyDescent="0.25">
      <c r="B340" s="73"/>
      <c r="U340">
        <f>S340-T340</f>
        <v>0</v>
      </c>
    </row>
    <row r="341" spans="2:21" x14ac:dyDescent="0.25">
      <c r="B341" s="73"/>
      <c r="U341">
        <f>S341-T341</f>
        <v>0</v>
      </c>
    </row>
    <row r="342" spans="2:21" x14ac:dyDescent="0.25">
      <c r="B342" s="73"/>
      <c r="U342">
        <f>S342-T342</f>
        <v>0</v>
      </c>
    </row>
    <row r="343" spans="2:21" x14ac:dyDescent="0.25">
      <c r="B343" s="73"/>
      <c r="U343">
        <f>S343-T343</f>
        <v>0</v>
      </c>
    </row>
    <row r="344" spans="2:21" x14ac:dyDescent="0.25">
      <c r="B344" s="73"/>
      <c r="U344">
        <f>S344-T344</f>
        <v>0</v>
      </c>
    </row>
    <row r="345" spans="2:21" x14ac:dyDescent="0.25">
      <c r="B345" s="73"/>
      <c r="U345">
        <f>S345-T345</f>
        <v>0</v>
      </c>
    </row>
    <row r="346" spans="2:21" x14ac:dyDescent="0.25">
      <c r="B346" s="73"/>
      <c r="U346">
        <f>S346-T346</f>
        <v>0</v>
      </c>
    </row>
    <row r="347" spans="2:21" x14ac:dyDescent="0.25">
      <c r="B347" s="73"/>
      <c r="U347">
        <f>S347-T347</f>
        <v>0</v>
      </c>
    </row>
    <row r="348" spans="2:21" x14ac:dyDescent="0.25">
      <c r="B348" s="73"/>
      <c r="U348">
        <f>S348-T348</f>
        <v>0</v>
      </c>
    </row>
    <row r="349" spans="2:21" x14ac:dyDescent="0.25">
      <c r="B349" s="73"/>
      <c r="U349">
        <f>S349-T349</f>
        <v>0</v>
      </c>
    </row>
    <row r="350" spans="2:21" x14ac:dyDescent="0.25">
      <c r="B350" s="73"/>
      <c r="U350">
        <f>S350-T350</f>
        <v>0</v>
      </c>
    </row>
    <row r="351" spans="2:21" x14ac:dyDescent="0.25">
      <c r="B351" s="73"/>
      <c r="U351">
        <f>S351-T351</f>
        <v>0</v>
      </c>
    </row>
    <row r="352" spans="2:21" x14ac:dyDescent="0.25">
      <c r="B352" s="73"/>
      <c r="U352">
        <f>S352-T352</f>
        <v>0</v>
      </c>
    </row>
    <row r="353" spans="2:21" x14ac:dyDescent="0.25">
      <c r="B353" s="73"/>
      <c r="U353">
        <f>S353-T353</f>
        <v>0</v>
      </c>
    </row>
    <row r="354" spans="2:21" x14ac:dyDescent="0.25">
      <c r="B354" s="73"/>
      <c r="U354">
        <f>S354-T354</f>
        <v>0</v>
      </c>
    </row>
    <row r="355" spans="2:21" x14ac:dyDescent="0.25">
      <c r="B355" s="73"/>
      <c r="U355">
        <f>S355-T355</f>
        <v>0</v>
      </c>
    </row>
    <row r="356" spans="2:21" x14ac:dyDescent="0.25">
      <c r="B356" s="73"/>
      <c r="U356">
        <f>S356-T356</f>
        <v>0</v>
      </c>
    </row>
    <row r="357" spans="2:21" x14ac:dyDescent="0.25">
      <c r="B357" s="73"/>
      <c r="U357">
        <f>S357-T357</f>
        <v>0</v>
      </c>
    </row>
    <row r="358" spans="2:21" x14ac:dyDescent="0.25">
      <c r="B358" s="73"/>
      <c r="U358">
        <f>S358-T358</f>
        <v>0</v>
      </c>
    </row>
    <row r="359" spans="2:21" x14ac:dyDescent="0.25">
      <c r="B359" s="73"/>
      <c r="U359">
        <f>S359-T359</f>
        <v>0</v>
      </c>
    </row>
    <row r="360" spans="2:21" x14ac:dyDescent="0.25">
      <c r="B360" s="73"/>
      <c r="U360">
        <f>S360-T360</f>
        <v>0</v>
      </c>
    </row>
    <row r="361" spans="2:21" x14ac:dyDescent="0.25">
      <c r="B361" s="73"/>
      <c r="U361">
        <f>S361-T361</f>
        <v>0</v>
      </c>
    </row>
    <row r="362" spans="2:21" x14ac:dyDescent="0.25">
      <c r="B362" s="73"/>
      <c r="U362">
        <f>S362-T362</f>
        <v>0</v>
      </c>
    </row>
    <row r="363" spans="2:21" x14ac:dyDescent="0.25">
      <c r="B363" s="73"/>
      <c r="U363">
        <f>S363-T363</f>
        <v>0</v>
      </c>
    </row>
    <row r="364" spans="2:21" x14ac:dyDescent="0.25">
      <c r="B364" s="73"/>
      <c r="U364">
        <f>S364-T364</f>
        <v>0</v>
      </c>
    </row>
    <row r="365" spans="2:21" x14ac:dyDescent="0.25">
      <c r="B365" s="73"/>
      <c r="U365">
        <f>S365-T365</f>
        <v>0</v>
      </c>
    </row>
    <row r="366" spans="2:21" x14ac:dyDescent="0.25">
      <c r="B366" s="73"/>
      <c r="U366">
        <f>S366-T366</f>
        <v>0</v>
      </c>
    </row>
    <row r="367" spans="2:21" x14ac:dyDescent="0.25">
      <c r="B367" s="73"/>
      <c r="U367">
        <f>S367-T367</f>
        <v>0</v>
      </c>
    </row>
    <row r="368" spans="2:21" x14ac:dyDescent="0.25">
      <c r="B368" s="73"/>
      <c r="U368">
        <f>S368-T368</f>
        <v>0</v>
      </c>
    </row>
    <row r="369" spans="2:21" x14ac:dyDescent="0.25">
      <c r="B369" s="73"/>
      <c r="U369">
        <f>S369-T369</f>
        <v>0</v>
      </c>
    </row>
    <row r="370" spans="2:21" x14ac:dyDescent="0.25">
      <c r="B370" s="73"/>
      <c r="U370">
        <f>S370-T370</f>
        <v>0</v>
      </c>
    </row>
    <row r="371" spans="2:21" x14ac:dyDescent="0.25">
      <c r="B371" s="73"/>
      <c r="U371">
        <f>S371-T371</f>
        <v>0</v>
      </c>
    </row>
    <row r="372" spans="2:21" x14ac:dyDescent="0.25">
      <c r="B372" s="73"/>
      <c r="U372">
        <f>S372-T372</f>
        <v>0</v>
      </c>
    </row>
    <row r="373" spans="2:21" x14ac:dyDescent="0.25">
      <c r="B373" s="73"/>
      <c r="U373">
        <f>S373-T373</f>
        <v>0</v>
      </c>
    </row>
    <row r="374" spans="2:21" x14ac:dyDescent="0.25">
      <c r="B374" s="73"/>
      <c r="U374">
        <f>S374-T374</f>
        <v>0</v>
      </c>
    </row>
    <row r="375" spans="2:21" x14ac:dyDescent="0.25">
      <c r="B375" s="73"/>
      <c r="U375">
        <f>S375-T375</f>
        <v>0</v>
      </c>
    </row>
    <row r="376" spans="2:21" x14ac:dyDescent="0.25">
      <c r="B376" s="73"/>
      <c r="U376">
        <f>S376-T376</f>
        <v>0</v>
      </c>
    </row>
    <row r="377" spans="2:21" x14ac:dyDescent="0.25">
      <c r="B377" s="73"/>
      <c r="U377">
        <f>S377-T377</f>
        <v>0</v>
      </c>
    </row>
    <row r="378" spans="2:21" x14ac:dyDescent="0.25">
      <c r="B378" s="73"/>
      <c r="U378">
        <f>S378-T378</f>
        <v>0</v>
      </c>
    </row>
    <row r="379" spans="2:21" x14ac:dyDescent="0.25">
      <c r="B379" s="73"/>
      <c r="U379">
        <f>S379-T379</f>
        <v>0</v>
      </c>
    </row>
    <row r="380" spans="2:21" x14ac:dyDescent="0.25">
      <c r="B380" s="73"/>
      <c r="U380">
        <f>S380-T380</f>
        <v>0</v>
      </c>
    </row>
    <row r="381" spans="2:21" x14ac:dyDescent="0.25">
      <c r="B381" s="73"/>
      <c r="U381">
        <f>S381-T381</f>
        <v>0</v>
      </c>
    </row>
    <row r="382" spans="2:21" x14ac:dyDescent="0.25">
      <c r="B382" s="73"/>
      <c r="U382">
        <f>S382-T382</f>
        <v>0</v>
      </c>
    </row>
    <row r="383" spans="2:21" x14ac:dyDescent="0.25">
      <c r="B383" s="73"/>
      <c r="U383">
        <f>S383-T383</f>
        <v>0</v>
      </c>
    </row>
    <row r="384" spans="2:21" x14ac:dyDescent="0.25">
      <c r="B384" s="73"/>
      <c r="U384">
        <f>S384-T384</f>
        <v>0</v>
      </c>
    </row>
    <row r="385" spans="2:21" x14ac:dyDescent="0.25">
      <c r="B385" s="73"/>
      <c r="U385">
        <f>S385-T385</f>
        <v>0</v>
      </c>
    </row>
    <row r="386" spans="2:21" x14ac:dyDescent="0.25">
      <c r="B386" s="73"/>
      <c r="U386">
        <f>S386-T386</f>
        <v>0</v>
      </c>
    </row>
    <row r="387" spans="2:21" x14ac:dyDescent="0.25">
      <c r="B387" s="73"/>
      <c r="U387">
        <f>S387-T387</f>
        <v>0</v>
      </c>
    </row>
    <row r="388" spans="2:21" x14ac:dyDescent="0.25">
      <c r="B388" s="73"/>
      <c r="U388">
        <f>S388-T388</f>
        <v>0</v>
      </c>
    </row>
    <row r="389" spans="2:21" x14ac:dyDescent="0.25">
      <c r="B389" s="73"/>
      <c r="U389">
        <f>S389-T389</f>
        <v>0</v>
      </c>
    </row>
    <row r="390" spans="2:21" x14ac:dyDescent="0.25">
      <c r="B390" s="73"/>
      <c r="U390">
        <f>S390-T390</f>
        <v>0</v>
      </c>
    </row>
    <row r="391" spans="2:21" x14ac:dyDescent="0.25">
      <c r="B391" s="73"/>
      <c r="U391">
        <f>S391-T391</f>
        <v>0</v>
      </c>
    </row>
    <row r="392" spans="2:21" x14ac:dyDescent="0.25">
      <c r="B392" s="73"/>
      <c r="U392">
        <f>S392-T392</f>
        <v>0</v>
      </c>
    </row>
    <row r="393" spans="2:21" x14ac:dyDescent="0.25">
      <c r="B393" s="73"/>
      <c r="U393">
        <f>S393-T393</f>
        <v>0</v>
      </c>
    </row>
    <row r="394" spans="2:21" x14ac:dyDescent="0.25">
      <c r="B394" s="73"/>
      <c r="U394">
        <f>S394-T394</f>
        <v>0</v>
      </c>
    </row>
    <row r="395" spans="2:21" x14ac:dyDescent="0.25">
      <c r="B395" s="73"/>
      <c r="U395">
        <f>S395-T395</f>
        <v>0</v>
      </c>
    </row>
    <row r="396" spans="2:21" x14ac:dyDescent="0.25">
      <c r="B396" s="73"/>
      <c r="U396">
        <f>S396-T396</f>
        <v>0</v>
      </c>
    </row>
    <row r="397" spans="2:21" x14ac:dyDescent="0.25">
      <c r="B397" s="73"/>
      <c r="U397">
        <f>S397-T397</f>
        <v>0</v>
      </c>
    </row>
    <row r="398" spans="2:21" x14ac:dyDescent="0.25">
      <c r="B398" s="73"/>
      <c r="U398">
        <f>S398-T398</f>
        <v>0</v>
      </c>
    </row>
    <row r="399" spans="2:21" x14ac:dyDescent="0.25">
      <c r="B399" s="73"/>
      <c r="U399">
        <f>S399-T399</f>
        <v>0</v>
      </c>
    </row>
    <row r="400" spans="2:21" x14ac:dyDescent="0.25">
      <c r="B400" s="73"/>
      <c r="U400">
        <f>S400-T400</f>
        <v>0</v>
      </c>
    </row>
    <row r="401" spans="2:21" x14ac:dyDescent="0.25">
      <c r="B401" s="73"/>
      <c r="U401">
        <f>S401-T401</f>
        <v>0</v>
      </c>
    </row>
    <row r="402" spans="2:21" x14ac:dyDescent="0.25">
      <c r="B402" s="73"/>
      <c r="U402">
        <f>S402-T402</f>
        <v>0</v>
      </c>
    </row>
    <row r="403" spans="2:21" x14ac:dyDescent="0.25">
      <c r="B403" s="73"/>
      <c r="U403">
        <f>S403-T403</f>
        <v>0</v>
      </c>
    </row>
    <row r="404" spans="2:21" x14ac:dyDescent="0.25">
      <c r="B404" s="73"/>
      <c r="U404">
        <f>S404-T404</f>
        <v>0</v>
      </c>
    </row>
    <row r="405" spans="2:21" x14ac:dyDescent="0.25">
      <c r="B405" s="73"/>
      <c r="U405">
        <f>S405-T405</f>
        <v>0</v>
      </c>
    </row>
    <row r="406" spans="2:21" x14ac:dyDescent="0.25">
      <c r="B406" s="73"/>
      <c r="U406">
        <f>S406-T406</f>
        <v>0</v>
      </c>
    </row>
    <row r="407" spans="2:21" x14ac:dyDescent="0.25">
      <c r="B407" s="73"/>
      <c r="U407">
        <f>S407-T407</f>
        <v>0</v>
      </c>
    </row>
    <row r="408" spans="2:21" x14ac:dyDescent="0.25">
      <c r="B408" s="73"/>
      <c r="U408">
        <f>S408-T408</f>
        <v>0</v>
      </c>
    </row>
    <row r="409" spans="2:21" x14ac:dyDescent="0.25">
      <c r="B409" s="73"/>
      <c r="U409">
        <f>S409-T409</f>
        <v>0</v>
      </c>
    </row>
    <row r="410" spans="2:21" x14ac:dyDescent="0.25">
      <c r="B410" s="73"/>
      <c r="U410">
        <f>S410-T410</f>
        <v>0</v>
      </c>
    </row>
    <row r="411" spans="2:21" x14ac:dyDescent="0.25">
      <c r="B411" s="73"/>
      <c r="U411">
        <f>S411-T411</f>
        <v>0</v>
      </c>
    </row>
    <row r="412" spans="2:21" x14ac:dyDescent="0.25">
      <c r="B412" s="73"/>
      <c r="U412">
        <f>S412-T412</f>
        <v>0</v>
      </c>
    </row>
    <row r="413" spans="2:21" x14ac:dyDescent="0.25">
      <c r="B413" s="73"/>
      <c r="U413">
        <f>S413-T413</f>
        <v>0</v>
      </c>
    </row>
    <row r="414" spans="2:21" x14ac:dyDescent="0.25">
      <c r="B414" s="73"/>
      <c r="U414">
        <f>S414-T414</f>
        <v>0</v>
      </c>
    </row>
    <row r="415" spans="2:21" x14ac:dyDescent="0.25">
      <c r="B415" s="73"/>
      <c r="U415">
        <f>S415-T415</f>
        <v>0</v>
      </c>
    </row>
    <row r="416" spans="2:21" x14ac:dyDescent="0.25">
      <c r="B416" s="73"/>
      <c r="U416">
        <f>S416-T416</f>
        <v>0</v>
      </c>
    </row>
    <row r="417" spans="2:21" x14ac:dyDescent="0.25">
      <c r="B417" s="73"/>
      <c r="U417">
        <f>S417-T417</f>
        <v>0</v>
      </c>
    </row>
    <row r="418" spans="2:21" x14ac:dyDescent="0.25">
      <c r="B418" s="73"/>
      <c r="U418">
        <f>S418-T418</f>
        <v>0</v>
      </c>
    </row>
    <row r="419" spans="2:21" x14ac:dyDescent="0.25">
      <c r="B419" s="73"/>
      <c r="U419">
        <f>S419-T419</f>
        <v>0</v>
      </c>
    </row>
    <row r="420" spans="2:21" x14ac:dyDescent="0.25">
      <c r="B420" s="73"/>
      <c r="U420">
        <f>S420-T420</f>
        <v>0</v>
      </c>
    </row>
    <row r="421" spans="2:21" x14ac:dyDescent="0.25">
      <c r="B421" s="73"/>
      <c r="U421">
        <f>S421-T421</f>
        <v>0</v>
      </c>
    </row>
    <row r="422" spans="2:21" x14ac:dyDescent="0.25">
      <c r="B422" s="73"/>
      <c r="U422">
        <f>S422-T422</f>
        <v>0</v>
      </c>
    </row>
    <row r="423" spans="2:21" x14ac:dyDescent="0.25">
      <c r="B423" s="73"/>
      <c r="U423">
        <f>S423-T423</f>
        <v>0</v>
      </c>
    </row>
    <row r="424" spans="2:21" x14ac:dyDescent="0.25">
      <c r="B424" s="73"/>
      <c r="U424">
        <f>S424-T424</f>
        <v>0</v>
      </c>
    </row>
    <row r="425" spans="2:21" x14ac:dyDescent="0.25">
      <c r="B425" s="73"/>
      <c r="U425">
        <f>S425-T425</f>
        <v>0</v>
      </c>
    </row>
    <row r="426" spans="2:21" x14ac:dyDescent="0.25">
      <c r="B426" s="73"/>
      <c r="U426">
        <f>S426-T426</f>
        <v>0</v>
      </c>
    </row>
    <row r="427" spans="2:21" x14ac:dyDescent="0.25">
      <c r="B427" s="73"/>
      <c r="U427">
        <f>S427-T427</f>
        <v>0</v>
      </c>
    </row>
    <row r="428" spans="2:21" x14ac:dyDescent="0.25">
      <c r="B428" s="73"/>
      <c r="U428">
        <f>S428-T428</f>
        <v>0</v>
      </c>
    </row>
    <row r="429" spans="2:21" x14ac:dyDescent="0.25">
      <c r="B429" s="73"/>
      <c r="U429">
        <f>S429-T429</f>
        <v>0</v>
      </c>
    </row>
    <row r="430" spans="2:21" x14ac:dyDescent="0.25">
      <c r="B430" s="73"/>
      <c r="U430">
        <f>S430-T430</f>
        <v>0</v>
      </c>
    </row>
    <row r="431" spans="2:21" x14ac:dyDescent="0.25">
      <c r="B431" s="73"/>
      <c r="U431">
        <f>S431-T431</f>
        <v>0</v>
      </c>
    </row>
    <row r="432" spans="2:21" x14ac:dyDescent="0.25">
      <c r="B432" s="73"/>
      <c r="U432">
        <f>S432-T432</f>
        <v>0</v>
      </c>
    </row>
    <row r="433" spans="2:21" x14ac:dyDescent="0.25">
      <c r="B433" s="73"/>
      <c r="U433">
        <f>S433-T433</f>
        <v>0</v>
      </c>
    </row>
    <row r="434" spans="2:21" x14ac:dyDescent="0.25">
      <c r="B434" s="73"/>
      <c r="U434">
        <f>S434-T434</f>
        <v>0</v>
      </c>
    </row>
    <row r="435" spans="2:21" x14ac:dyDescent="0.25">
      <c r="B435" s="73"/>
      <c r="U435">
        <f>S435-T435</f>
        <v>0</v>
      </c>
    </row>
    <row r="436" spans="2:21" x14ac:dyDescent="0.25">
      <c r="B436" s="73"/>
      <c r="U436">
        <f>S436-T436</f>
        <v>0</v>
      </c>
    </row>
    <row r="437" spans="2:21" x14ac:dyDescent="0.25">
      <c r="B437" s="73"/>
      <c r="U437">
        <f>S437-T437</f>
        <v>0</v>
      </c>
    </row>
    <row r="438" spans="2:21" x14ac:dyDescent="0.25">
      <c r="B438" s="73"/>
      <c r="U438">
        <f>S438-T438</f>
        <v>0</v>
      </c>
    </row>
    <row r="439" spans="2:21" x14ac:dyDescent="0.25">
      <c r="B439" s="73"/>
      <c r="U439">
        <f>S439-T439</f>
        <v>0</v>
      </c>
    </row>
    <row r="440" spans="2:21" x14ac:dyDescent="0.25">
      <c r="B440" s="73"/>
      <c r="U440">
        <f>S440-T440</f>
        <v>0</v>
      </c>
    </row>
    <row r="441" spans="2:21" x14ac:dyDescent="0.25">
      <c r="B441" s="73"/>
      <c r="U441">
        <f>S441-T441</f>
        <v>0</v>
      </c>
    </row>
    <row r="442" spans="2:21" x14ac:dyDescent="0.25">
      <c r="B442" s="73"/>
      <c r="U442">
        <f>S442-T442</f>
        <v>0</v>
      </c>
    </row>
    <row r="443" spans="2:21" x14ac:dyDescent="0.25">
      <c r="B443" s="73"/>
      <c r="U443">
        <f>S443-T443</f>
        <v>0</v>
      </c>
    </row>
    <row r="444" spans="2:21" x14ac:dyDescent="0.25">
      <c r="B444" s="73"/>
      <c r="U444">
        <f>S444-T444</f>
        <v>0</v>
      </c>
    </row>
    <row r="445" spans="2:21" x14ac:dyDescent="0.25">
      <c r="B445" s="73"/>
      <c r="U445">
        <f>S445-T445</f>
        <v>0</v>
      </c>
    </row>
    <row r="446" spans="2:21" x14ac:dyDescent="0.25">
      <c r="B446" s="73"/>
      <c r="U446">
        <f>S446-T446</f>
        <v>0</v>
      </c>
    </row>
    <row r="447" spans="2:21" x14ac:dyDescent="0.25">
      <c r="B447" s="73"/>
      <c r="U447">
        <f>S447-T447</f>
        <v>0</v>
      </c>
    </row>
    <row r="448" spans="2:21" x14ac:dyDescent="0.25">
      <c r="B448" s="73"/>
      <c r="U448">
        <f>S448-T448</f>
        <v>0</v>
      </c>
    </row>
    <row r="449" spans="2:21" x14ac:dyDescent="0.25">
      <c r="B449" s="73"/>
      <c r="U449">
        <f>S449-T449</f>
        <v>0</v>
      </c>
    </row>
    <row r="450" spans="2:21" x14ac:dyDescent="0.25">
      <c r="B450" s="73"/>
      <c r="U450">
        <f>S450-T450</f>
        <v>0</v>
      </c>
    </row>
    <row r="451" spans="2:21" x14ac:dyDescent="0.25">
      <c r="B451" s="73"/>
      <c r="U451">
        <f>S451-T451</f>
        <v>0</v>
      </c>
    </row>
    <row r="452" spans="2:21" x14ac:dyDescent="0.25">
      <c r="B452" s="73"/>
      <c r="U452">
        <f>S452-T452</f>
        <v>0</v>
      </c>
    </row>
    <row r="453" spans="2:21" x14ac:dyDescent="0.25">
      <c r="B453" s="73"/>
      <c r="U453">
        <f>S453-T453</f>
        <v>0</v>
      </c>
    </row>
    <row r="454" spans="2:21" x14ac:dyDescent="0.25">
      <c r="B454" s="73"/>
      <c r="U454">
        <f>S454-T454</f>
        <v>0</v>
      </c>
    </row>
    <row r="455" spans="2:21" x14ac:dyDescent="0.25">
      <c r="B455" s="73"/>
      <c r="U455">
        <f>S455-T455</f>
        <v>0</v>
      </c>
    </row>
    <row r="456" spans="2:21" x14ac:dyDescent="0.25">
      <c r="B456" s="73"/>
      <c r="U456">
        <f>S456-T456</f>
        <v>0</v>
      </c>
    </row>
    <row r="457" spans="2:21" x14ac:dyDescent="0.25">
      <c r="B457" s="73"/>
      <c r="U457">
        <f>S457-T457</f>
        <v>0</v>
      </c>
    </row>
    <row r="458" spans="2:21" x14ac:dyDescent="0.25">
      <c r="B458" s="73"/>
      <c r="U458">
        <f>S458-T458</f>
        <v>0</v>
      </c>
    </row>
    <row r="459" spans="2:21" x14ac:dyDescent="0.25">
      <c r="B459" s="73"/>
      <c r="U459">
        <f>S459-T459</f>
        <v>0</v>
      </c>
    </row>
    <row r="460" spans="2:21" x14ac:dyDescent="0.25">
      <c r="B460" s="73"/>
      <c r="U460">
        <f>S460-T460</f>
        <v>0</v>
      </c>
    </row>
    <row r="461" spans="2:21" x14ac:dyDescent="0.25">
      <c r="B461" s="73"/>
      <c r="U461">
        <f>S461-T461</f>
        <v>0</v>
      </c>
    </row>
    <row r="462" spans="2:21" x14ac:dyDescent="0.25">
      <c r="B462" s="73"/>
      <c r="U462">
        <f>S462-T462</f>
        <v>0</v>
      </c>
    </row>
    <row r="463" spans="2:21" x14ac:dyDescent="0.25">
      <c r="B463" s="73"/>
      <c r="U463">
        <f>S463-T463</f>
        <v>0</v>
      </c>
    </row>
    <row r="464" spans="2:21" x14ac:dyDescent="0.25">
      <c r="B464" s="73"/>
      <c r="U464">
        <f>S464-T464</f>
        <v>0</v>
      </c>
    </row>
    <row r="465" spans="2:21" x14ac:dyDescent="0.25">
      <c r="B465" s="73"/>
      <c r="U465">
        <f>S465-T465</f>
        <v>0</v>
      </c>
    </row>
    <row r="466" spans="2:21" x14ac:dyDescent="0.25">
      <c r="B466" s="73"/>
      <c r="U466">
        <f>S466-T466</f>
        <v>0</v>
      </c>
    </row>
    <row r="467" spans="2:21" x14ac:dyDescent="0.25">
      <c r="B467" s="73"/>
      <c r="U467">
        <f>S467-T467</f>
        <v>0</v>
      </c>
    </row>
    <row r="468" spans="2:21" x14ac:dyDescent="0.25">
      <c r="B468" s="73"/>
      <c r="U468">
        <f>S468-T468</f>
        <v>0</v>
      </c>
    </row>
    <row r="469" spans="2:21" x14ac:dyDescent="0.25">
      <c r="B469" s="73"/>
      <c r="U469">
        <f>S469-T469</f>
        <v>0</v>
      </c>
    </row>
    <row r="470" spans="2:21" x14ac:dyDescent="0.25">
      <c r="B470" s="73"/>
      <c r="U470">
        <f>S470-T470</f>
        <v>0</v>
      </c>
    </row>
    <row r="471" spans="2:21" x14ac:dyDescent="0.25">
      <c r="B471" s="73"/>
      <c r="U471">
        <f>S471-T471</f>
        <v>0</v>
      </c>
    </row>
    <row r="472" spans="2:21" x14ac:dyDescent="0.25">
      <c r="B472" s="73"/>
      <c r="U472">
        <f>S472-T472</f>
        <v>0</v>
      </c>
    </row>
    <row r="473" spans="2:21" x14ac:dyDescent="0.25">
      <c r="B473" s="73"/>
      <c r="U473">
        <f>S473-T473</f>
        <v>0</v>
      </c>
    </row>
    <row r="474" spans="2:21" x14ac:dyDescent="0.25">
      <c r="B474" s="73"/>
      <c r="U474">
        <f>S474-T474</f>
        <v>0</v>
      </c>
    </row>
    <row r="475" spans="2:21" x14ac:dyDescent="0.25">
      <c r="B475" s="73"/>
      <c r="U475">
        <f>S475-T475</f>
        <v>0</v>
      </c>
    </row>
    <row r="476" spans="2:21" x14ac:dyDescent="0.25">
      <c r="B476" s="73"/>
      <c r="U476">
        <f>S476-T476</f>
        <v>0</v>
      </c>
    </row>
    <row r="477" spans="2:21" x14ac:dyDescent="0.25">
      <c r="B477" s="73"/>
      <c r="U477">
        <f>S477-T477</f>
        <v>0</v>
      </c>
    </row>
    <row r="478" spans="2:21" x14ac:dyDescent="0.25">
      <c r="B478" s="73"/>
      <c r="U478">
        <f>S478-T478</f>
        <v>0</v>
      </c>
    </row>
    <row r="479" spans="2:21" x14ac:dyDescent="0.25">
      <c r="B479" s="73"/>
      <c r="U479">
        <f>S479-T479</f>
        <v>0</v>
      </c>
    </row>
    <row r="480" spans="2:21" x14ac:dyDescent="0.25">
      <c r="B480" s="73"/>
      <c r="U480">
        <f>S480-T480</f>
        <v>0</v>
      </c>
    </row>
    <row r="481" spans="2:21" x14ac:dyDescent="0.25">
      <c r="B481" s="73"/>
      <c r="U481">
        <f>S481-T481</f>
        <v>0</v>
      </c>
    </row>
    <row r="482" spans="2:21" x14ac:dyDescent="0.25">
      <c r="B482" s="73"/>
      <c r="U482">
        <f>S482-T482</f>
        <v>0</v>
      </c>
    </row>
    <row r="483" spans="2:21" x14ac:dyDescent="0.25">
      <c r="B483" s="73"/>
      <c r="U483">
        <f>S483-T483</f>
        <v>0</v>
      </c>
    </row>
    <row r="484" spans="2:21" x14ac:dyDescent="0.25">
      <c r="B484" s="73"/>
      <c r="U484">
        <f>S484-T484</f>
        <v>0</v>
      </c>
    </row>
    <row r="485" spans="2:21" x14ac:dyDescent="0.25">
      <c r="B485" s="73"/>
      <c r="U485">
        <f>S485-T485</f>
        <v>0</v>
      </c>
    </row>
    <row r="486" spans="2:21" x14ac:dyDescent="0.25">
      <c r="B486" s="73"/>
      <c r="U486">
        <f>S486-T486</f>
        <v>0</v>
      </c>
    </row>
    <row r="487" spans="2:21" x14ac:dyDescent="0.25">
      <c r="B487" s="73"/>
      <c r="U487">
        <f>S487-T487</f>
        <v>0</v>
      </c>
    </row>
    <row r="488" spans="2:21" x14ac:dyDescent="0.25">
      <c r="B488" s="73"/>
      <c r="U488">
        <f>S488-T488</f>
        <v>0</v>
      </c>
    </row>
    <row r="489" spans="2:21" x14ac:dyDescent="0.25">
      <c r="B489" s="73"/>
      <c r="U489">
        <f>S489-T489</f>
        <v>0</v>
      </c>
    </row>
    <row r="490" spans="2:21" x14ac:dyDescent="0.25">
      <c r="B490" s="73"/>
      <c r="U490">
        <f>S490-T490</f>
        <v>0</v>
      </c>
    </row>
    <row r="491" spans="2:21" x14ac:dyDescent="0.25">
      <c r="B491" s="73"/>
      <c r="U491">
        <f>S491-T491</f>
        <v>0</v>
      </c>
    </row>
    <row r="492" spans="2:21" x14ac:dyDescent="0.25">
      <c r="B492" s="73"/>
      <c r="U492">
        <f>S492-T492</f>
        <v>0</v>
      </c>
    </row>
    <row r="493" spans="2:21" x14ac:dyDescent="0.25">
      <c r="B493" s="73"/>
      <c r="U493">
        <f>S493-T493</f>
        <v>0</v>
      </c>
    </row>
    <row r="494" spans="2:21" x14ac:dyDescent="0.25">
      <c r="B494" s="73"/>
      <c r="U494">
        <f>S494-T494</f>
        <v>0</v>
      </c>
    </row>
    <row r="495" spans="2:21" x14ac:dyDescent="0.25">
      <c r="B495" s="73"/>
      <c r="U495">
        <f>S495-T495</f>
        <v>0</v>
      </c>
    </row>
    <row r="496" spans="2:21" x14ac:dyDescent="0.25">
      <c r="B496" s="73"/>
      <c r="U496">
        <f>S496-T496</f>
        <v>0</v>
      </c>
    </row>
    <row r="497" spans="2:21" x14ac:dyDescent="0.25">
      <c r="B497" s="73"/>
      <c r="U497">
        <f>S497-T497</f>
        <v>0</v>
      </c>
    </row>
    <row r="498" spans="2:21" x14ac:dyDescent="0.25">
      <c r="B498" s="73"/>
      <c r="U498">
        <f>S498-T498</f>
        <v>0</v>
      </c>
    </row>
    <row r="499" spans="2:21" x14ac:dyDescent="0.25">
      <c r="B499" s="73"/>
      <c r="U499">
        <f>S499-T499</f>
        <v>0</v>
      </c>
    </row>
    <row r="500" spans="2:21" x14ac:dyDescent="0.25">
      <c r="B500" s="73"/>
      <c r="U500">
        <f>S500-T500</f>
        <v>0</v>
      </c>
    </row>
    <row r="501" spans="2:21" x14ac:dyDescent="0.25">
      <c r="B501" s="73"/>
      <c r="U501">
        <f>S501-T501</f>
        <v>0</v>
      </c>
    </row>
    <row r="502" spans="2:21" x14ac:dyDescent="0.25">
      <c r="B502" s="73"/>
      <c r="U502">
        <f>S502-T502</f>
        <v>0</v>
      </c>
    </row>
    <row r="503" spans="2:21" x14ac:dyDescent="0.25">
      <c r="B503" s="73"/>
      <c r="U503">
        <f>S503-T503</f>
        <v>0</v>
      </c>
    </row>
    <row r="504" spans="2:21" x14ac:dyDescent="0.25">
      <c r="B504" s="73"/>
      <c r="U504">
        <f>S504-T504</f>
        <v>0</v>
      </c>
    </row>
    <row r="505" spans="2:21" x14ac:dyDescent="0.25">
      <c r="B505" s="73"/>
      <c r="U505">
        <f>S505-T505</f>
        <v>0</v>
      </c>
    </row>
    <row r="506" spans="2:21" x14ac:dyDescent="0.25">
      <c r="B506" s="73"/>
      <c r="U506">
        <f>S506-T506</f>
        <v>0</v>
      </c>
    </row>
    <row r="507" spans="2:21" x14ac:dyDescent="0.25">
      <c r="B507" s="73"/>
      <c r="U507">
        <f>S507-T507</f>
        <v>0</v>
      </c>
    </row>
    <row r="508" spans="2:21" x14ac:dyDescent="0.25">
      <c r="B508" s="73"/>
      <c r="U508">
        <f>S508-T508</f>
        <v>0</v>
      </c>
    </row>
    <row r="509" spans="2:21" x14ac:dyDescent="0.25">
      <c r="B509" s="73"/>
      <c r="U509">
        <f>S509-T509</f>
        <v>0</v>
      </c>
    </row>
    <row r="510" spans="2:21" x14ac:dyDescent="0.25">
      <c r="B510" s="73"/>
      <c r="U510">
        <f>S510-T510</f>
        <v>0</v>
      </c>
    </row>
    <row r="511" spans="2:21" x14ac:dyDescent="0.25">
      <c r="B511" s="73"/>
      <c r="U511">
        <f>S511-T511</f>
        <v>0</v>
      </c>
    </row>
    <row r="512" spans="2:21" x14ac:dyDescent="0.25">
      <c r="B512" s="73"/>
      <c r="U512">
        <f>S512-T512</f>
        <v>0</v>
      </c>
    </row>
    <row r="513" spans="2:21" x14ac:dyDescent="0.25">
      <c r="B513" s="73"/>
      <c r="U513">
        <f>S513-T513</f>
        <v>0</v>
      </c>
    </row>
    <row r="514" spans="2:21" x14ac:dyDescent="0.25">
      <c r="B514" s="73"/>
      <c r="U514">
        <f>S514-T514</f>
        <v>0</v>
      </c>
    </row>
    <row r="515" spans="2:21" x14ac:dyDescent="0.25">
      <c r="B515" s="73"/>
      <c r="U515">
        <f>S515-T515</f>
        <v>0</v>
      </c>
    </row>
    <row r="516" spans="2:21" x14ac:dyDescent="0.25">
      <c r="B516" s="73"/>
      <c r="U516">
        <f>S516-T516</f>
        <v>0</v>
      </c>
    </row>
    <row r="517" spans="2:21" x14ac:dyDescent="0.25">
      <c r="B517" s="73"/>
      <c r="U517">
        <f>S517-T517</f>
        <v>0</v>
      </c>
    </row>
    <row r="518" spans="2:21" x14ac:dyDescent="0.25">
      <c r="B518" s="73"/>
      <c r="U518">
        <f>S518-T518</f>
        <v>0</v>
      </c>
    </row>
    <row r="519" spans="2:21" x14ac:dyDescent="0.25">
      <c r="B519" s="73"/>
      <c r="U519">
        <f>S519-T519</f>
        <v>0</v>
      </c>
    </row>
    <row r="520" spans="2:21" x14ac:dyDescent="0.25">
      <c r="B520" s="73"/>
      <c r="U520">
        <f>S520-T520</f>
        <v>0</v>
      </c>
    </row>
    <row r="521" spans="2:21" x14ac:dyDescent="0.25">
      <c r="B521" s="73"/>
      <c r="U521">
        <f>S521-T521</f>
        <v>0</v>
      </c>
    </row>
    <row r="522" spans="2:21" x14ac:dyDescent="0.25">
      <c r="B522" s="73"/>
      <c r="U522">
        <f>S522-T522</f>
        <v>0</v>
      </c>
    </row>
    <row r="523" spans="2:21" x14ac:dyDescent="0.25">
      <c r="B523" s="73"/>
      <c r="U523">
        <f>S523-T523</f>
        <v>0</v>
      </c>
    </row>
    <row r="524" spans="2:21" x14ac:dyDescent="0.25">
      <c r="B524" s="73"/>
      <c r="U524">
        <f>S524-T524</f>
        <v>0</v>
      </c>
    </row>
    <row r="525" spans="2:21" x14ac:dyDescent="0.25">
      <c r="B525" s="73"/>
      <c r="U525">
        <f>S525-T525</f>
        <v>0</v>
      </c>
    </row>
    <row r="526" spans="2:21" x14ac:dyDescent="0.25">
      <c r="B526" s="73"/>
      <c r="U526">
        <f>S526-T526</f>
        <v>0</v>
      </c>
    </row>
    <row r="527" spans="2:21" x14ac:dyDescent="0.25">
      <c r="B527" s="73"/>
      <c r="U527">
        <f>S527-T527</f>
        <v>0</v>
      </c>
    </row>
    <row r="528" spans="2:21" x14ac:dyDescent="0.25">
      <c r="B528" s="73"/>
      <c r="U528">
        <f>S528-T528</f>
        <v>0</v>
      </c>
    </row>
    <row r="529" spans="21:21" x14ac:dyDescent="0.25">
      <c r="U529">
        <f>S529-T529</f>
        <v>0</v>
      </c>
    </row>
    <row r="530" spans="21:21" x14ac:dyDescent="0.25">
      <c r="U530">
        <f>S530-T530</f>
        <v>0</v>
      </c>
    </row>
  </sheetData>
  <autoFilter ref="A2:V2" xr:uid="{00000000-0001-0000-0200-000000000000}">
    <sortState xmlns:xlrd2="http://schemas.microsoft.com/office/spreadsheetml/2017/richdata2" ref="A3:V530">
      <sortCondition ref="B2"/>
    </sortState>
  </autoFilter>
  <sortState xmlns:xlrd2="http://schemas.microsoft.com/office/spreadsheetml/2017/richdata2" ref="A3:C32">
    <sortCondition ref="B3:B32"/>
  </sortState>
  <mergeCells count="3">
    <mergeCell ref="H1:M1"/>
    <mergeCell ref="N1:R1"/>
    <mergeCell ref="S1:U1"/>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73"/>
  <sheetViews>
    <sheetView tabSelected="1" topLeftCell="B1" workbookViewId="0">
      <selection activeCell="G60" sqref="G60:J66"/>
    </sheetView>
  </sheetViews>
  <sheetFormatPr baseColWidth="10" defaultColWidth="0" defaultRowHeight="15" zeroHeight="1" x14ac:dyDescent="0.25"/>
  <cols>
    <col min="1" max="12" width="11.42578125" customWidth="1"/>
    <col min="13" max="17" width="0" hidden="1" customWidth="1"/>
    <col min="18" max="16384" width="11.42578125" hidden="1"/>
  </cols>
  <sheetData>
    <row r="1" spans="1:12" x14ac:dyDescent="0.25">
      <c r="A1" s="60"/>
      <c r="B1" s="60"/>
      <c r="C1" s="60"/>
      <c r="D1" s="60"/>
      <c r="E1" s="60"/>
      <c r="F1" s="60"/>
      <c r="G1" s="60"/>
      <c r="H1" s="60"/>
      <c r="I1" s="60"/>
      <c r="J1" s="60"/>
      <c r="K1" s="60"/>
      <c r="L1" s="60"/>
    </row>
    <row r="2" spans="1:12" ht="21" x14ac:dyDescent="0.35">
      <c r="A2" s="60"/>
      <c r="B2" s="210" t="s">
        <v>63</v>
      </c>
      <c r="C2" s="210"/>
      <c r="D2" s="210"/>
      <c r="E2" s="210"/>
      <c r="F2" s="210"/>
      <c r="G2" s="210"/>
      <c r="H2" s="210"/>
      <c r="I2" s="210"/>
      <c r="J2" s="210"/>
      <c r="K2" s="210"/>
      <c r="L2" s="60"/>
    </row>
    <row r="3" spans="1:12" ht="15.75" x14ac:dyDescent="0.25">
      <c r="A3" s="60"/>
      <c r="B3" s="200" t="s">
        <v>64</v>
      </c>
      <c r="C3" s="200"/>
      <c r="D3" s="200"/>
      <c r="E3" s="200"/>
      <c r="F3" s="200"/>
      <c r="G3" s="200"/>
      <c r="H3" s="200"/>
      <c r="I3" s="200"/>
      <c r="J3" s="200"/>
      <c r="K3" s="200"/>
      <c r="L3" s="60"/>
    </row>
    <row r="4" spans="1:12" x14ac:dyDescent="0.25">
      <c r="A4" s="60"/>
      <c r="B4" s="61"/>
      <c r="C4" s="62"/>
      <c r="D4" s="62"/>
      <c r="E4" s="62"/>
      <c r="F4" s="62"/>
      <c r="G4" s="62"/>
      <c r="H4" s="62"/>
      <c r="I4" s="62"/>
      <c r="J4" s="82" t="s">
        <v>92</v>
      </c>
      <c r="K4" s="83"/>
      <c r="L4" s="60"/>
    </row>
    <row r="5" spans="1:12" x14ac:dyDescent="0.25">
      <c r="A5" s="60"/>
      <c r="B5" s="61"/>
      <c r="C5" s="62"/>
      <c r="D5" s="62"/>
      <c r="E5" s="62"/>
      <c r="F5" s="62"/>
      <c r="G5" s="62"/>
      <c r="H5" s="62"/>
      <c r="I5" s="62"/>
      <c r="J5" s="62"/>
      <c r="K5" s="63"/>
      <c r="L5" s="60"/>
    </row>
    <row r="6" spans="1:12" ht="15.75" thickBot="1" x14ac:dyDescent="0.3">
      <c r="A6" s="60"/>
      <c r="B6" s="61"/>
      <c r="C6" s="201" t="s">
        <v>65</v>
      </c>
      <c r="D6" s="201"/>
      <c r="E6" s="201"/>
      <c r="F6" s="62"/>
      <c r="G6" s="211"/>
      <c r="H6" s="212"/>
      <c r="I6" s="212"/>
      <c r="J6" s="213"/>
      <c r="K6" s="63"/>
      <c r="L6" s="60"/>
    </row>
    <row r="7" spans="1:12" x14ac:dyDescent="0.25">
      <c r="A7" s="60"/>
      <c r="B7" s="61"/>
      <c r="C7" s="62"/>
      <c r="D7" s="62"/>
      <c r="E7" s="62"/>
      <c r="F7" s="62"/>
      <c r="G7" s="62"/>
      <c r="H7" s="62"/>
      <c r="I7" s="62"/>
      <c r="J7" s="62"/>
      <c r="K7" s="63"/>
      <c r="L7" s="60"/>
    </row>
    <row r="8" spans="1:12" ht="15.75" thickBot="1" x14ac:dyDescent="0.3">
      <c r="A8" s="60"/>
      <c r="B8" s="61"/>
      <c r="C8" s="201" t="s">
        <v>10</v>
      </c>
      <c r="D8" s="201"/>
      <c r="E8" s="201"/>
      <c r="F8" s="62"/>
      <c r="G8" s="214"/>
      <c r="H8" s="215"/>
      <c r="I8" s="215"/>
      <c r="J8" s="216"/>
      <c r="K8" s="63"/>
      <c r="L8" s="60"/>
    </row>
    <row r="9" spans="1:12" x14ac:dyDescent="0.25">
      <c r="A9" s="60"/>
      <c r="B9" s="61"/>
      <c r="C9" s="62"/>
      <c r="D9" s="62"/>
      <c r="E9" s="62"/>
      <c r="F9" s="62"/>
      <c r="G9" s="62"/>
      <c r="H9" s="62"/>
      <c r="I9" s="62"/>
      <c r="J9" s="62"/>
      <c r="K9" s="63"/>
      <c r="L9" s="60"/>
    </row>
    <row r="10" spans="1:12" ht="15.75" thickBot="1" x14ac:dyDescent="0.3">
      <c r="A10" s="60"/>
      <c r="B10" s="61"/>
      <c r="C10" s="201" t="s">
        <v>11</v>
      </c>
      <c r="D10" s="201"/>
      <c r="E10" s="201"/>
      <c r="F10" s="62"/>
      <c r="G10" s="220" t="s">
        <v>524</v>
      </c>
      <c r="H10" s="221"/>
      <c r="I10" s="221"/>
      <c r="J10" s="222"/>
      <c r="K10" s="63"/>
      <c r="L10" s="60"/>
    </row>
    <row r="11" spans="1:12" x14ac:dyDescent="0.25">
      <c r="A11" s="60"/>
      <c r="B11" s="61"/>
      <c r="C11" s="62"/>
      <c r="D11" s="62"/>
      <c r="E11" s="62"/>
      <c r="F11" s="62"/>
      <c r="G11" s="62"/>
      <c r="H11" s="62"/>
      <c r="I11" s="62"/>
      <c r="J11" s="62"/>
      <c r="K11" s="63"/>
      <c r="L11" s="60"/>
    </row>
    <row r="12" spans="1:12" ht="15.75" thickBot="1" x14ac:dyDescent="0.3">
      <c r="A12" s="60"/>
      <c r="B12" s="61"/>
      <c r="C12" s="201" t="s">
        <v>66</v>
      </c>
      <c r="D12" s="201"/>
      <c r="E12" s="201"/>
      <c r="F12" s="62"/>
      <c r="G12" s="223"/>
      <c r="H12" s="224"/>
      <c r="I12" s="224"/>
      <c r="J12" s="225"/>
      <c r="K12" s="63"/>
      <c r="L12" s="60"/>
    </row>
    <row r="13" spans="1:12" x14ac:dyDescent="0.25">
      <c r="A13" s="60"/>
      <c r="B13" s="61"/>
      <c r="C13" s="62"/>
      <c r="D13" s="62"/>
      <c r="E13" s="62"/>
      <c r="F13" s="62"/>
      <c r="G13" s="62"/>
      <c r="H13" s="62"/>
      <c r="I13" s="62"/>
      <c r="J13" s="62"/>
      <c r="K13" s="63"/>
      <c r="L13" s="60"/>
    </row>
    <row r="14" spans="1:12" ht="15.75" thickBot="1" x14ac:dyDescent="0.3">
      <c r="A14" s="60"/>
      <c r="B14" s="61"/>
      <c r="C14" s="201" t="s">
        <v>67</v>
      </c>
      <c r="D14" s="201"/>
      <c r="E14" s="201"/>
      <c r="F14" s="62"/>
      <c r="G14" s="226"/>
      <c r="H14" s="215"/>
      <c r="I14" s="215"/>
      <c r="J14" s="216"/>
      <c r="K14" s="63"/>
      <c r="L14" s="60"/>
    </row>
    <row r="15" spans="1:12" x14ac:dyDescent="0.25">
      <c r="A15" s="60"/>
      <c r="B15" s="61"/>
      <c r="C15" s="62"/>
      <c r="D15" s="62"/>
      <c r="E15" s="62"/>
      <c r="F15" s="62"/>
      <c r="G15" s="62"/>
      <c r="H15" s="62"/>
      <c r="I15" s="62"/>
      <c r="J15" s="62"/>
      <c r="K15" s="63"/>
      <c r="L15" s="60"/>
    </row>
    <row r="16" spans="1:12" ht="15.75" thickBot="1" x14ac:dyDescent="0.3">
      <c r="A16" s="60"/>
      <c r="B16" s="61"/>
      <c r="C16" s="201" t="s">
        <v>68</v>
      </c>
      <c r="D16" s="201"/>
      <c r="E16" s="201"/>
      <c r="F16" s="62"/>
      <c r="G16" s="202"/>
      <c r="H16" s="227"/>
      <c r="I16" s="227"/>
      <c r="J16" s="228"/>
      <c r="K16" s="63"/>
      <c r="L16" s="60"/>
    </row>
    <row r="17" spans="1:17" x14ac:dyDescent="0.25">
      <c r="A17" s="60"/>
      <c r="B17" s="61"/>
      <c r="C17" s="62"/>
      <c r="D17" s="62"/>
      <c r="E17" s="62"/>
      <c r="F17" s="62"/>
      <c r="G17" s="227"/>
      <c r="H17" s="227"/>
      <c r="I17" s="227"/>
      <c r="J17" s="228"/>
      <c r="K17" s="63"/>
      <c r="L17" s="60"/>
    </row>
    <row r="18" spans="1:17" x14ac:dyDescent="0.25">
      <c r="A18" s="60"/>
      <c r="B18" s="61"/>
      <c r="C18" s="62"/>
      <c r="D18" s="62"/>
      <c r="E18" s="62"/>
      <c r="F18" s="62"/>
      <c r="G18" s="227"/>
      <c r="H18" s="227"/>
      <c r="I18" s="227"/>
      <c r="J18" s="228"/>
      <c r="K18" s="63"/>
      <c r="L18" s="60"/>
    </row>
    <row r="19" spans="1:17" ht="15.75" thickBot="1" x14ac:dyDescent="0.3">
      <c r="A19" s="60"/>
      <c r="B19" s="61"/>
      <c r="C19" s="62"/>
      <c r="D19" s="62"/>
      <c r="E19" s="62"/>
      <c r="F19" s="62"/>
      <c r="G19" s="229"/>
      <c r="H19" s="229"/>
      <c r="I19" s="229"/>
      <c r="J19" s="230"/>
      <c r="K19" s="63"/>
      <c r="L19" s="60"/>
    </row>
    <row r="20" spans="1:17" x14ac:dyDescent="0.25">
      <c r="A20" s="60"/>
      <c r="B20" s="61"/>
      <c r="C20" s="62"/>
      <c r="D20" s="62"/>
      <c r="E20" s="62"/>
      <c r="F20" s="62"/>
      <c r="G20" s="62"/>
      <c r="H20" s="62"/>
      <c r="I20" s="62"/>
      <c r="J20" s="62"/>
      <c r="K20" s="63"/>
      <c r="L20" s="60"/>
    </row>
    <row r="21" spans="1:17" ht="15.75" x14ac:dyDescent="0.25">
      <c r="A21" s="60"/>
      <c r="B21" s="61"/>
      <c r="C21" s="200" t="s">
        <v>41</v>
      </c>
      <c r="D21" s="200"/>
      <c r="E21" s="200"/>
      <c r="F21" s="200"/>
      <c r="G21" s="200"/>
      <c r="H21" s="200"/>
      <c r="I21" s="200"/>
      <c r="J21" s="200"/>
      <c r="K21" s="63"/>
      <c r="L21" s="60"/>
    </row>
    <row r="22" spans="1:17" x14ac:dyDescent="0.25">
      <c r="A22" s="60"/>
      <c r="B22" s="61"/>
      <c r="C22" s="62"/>
      <c r="D22" s="62"/>
      <c r="E22" s="62"/>
      <c r="F22" s="62"/>
      <c r="G22" s="62"/>
      <c r="H22" s="62"/>
      <c r="I22" s="62"/>
      <c r="J22" s="62"/>
      <c r="K22" s="63"/>
      <c r="L22" s="60"/>
    </row>
    <row r="23" spans="1:17" ht="15.75" thickBot="1" x14ac:dyDescent="0.3">
      <c r="A23" s="60"/>
      <c r="B23" s="61"/>
      <c r="C23" s="201" t="s">
        <v>69</v>
      </c>
      <c r="D23" s="201"/>
      <c r="E23" s="201"/>
      <c r="F23" s="62"/>
      <c r="G23" s="231"/>
      <c r="H23" s="232"/>
      <c r="I23" s="232"/>
      <c r="J23" s="233"/>
      <c r="K23" s="63"/>
      <c r="L23" s="60"/>
    </row>
    <row r="24" spans="1:17" x14ac:dyDescent="0.25">
      <c r="A24" s="60"/>
      <c r="B24" s="61"/>
      <c r="C24" s="62"/>
      <c r="D24" s="62"/>
      <c r="E24" s="62"/>
      <c r="F24" s="62"/>
      <c r="G24" s="62"/>
      <c r="H24" s="62"/>
      <c r="I24" s="62"/>
      <c r="J24" s="62"/>
      <c r="K24" s="63"/>
      <c r="L24" s="60"/>
      <c r="P24" s="241"/>
      <c r="Q24" s="241"/>
    </row>
    <row r="25" spans="1:17" ht="15.75" thickBot="1" x14ac:dyDescent="0.3">
      <c r="A25" s="60"/>
      <c r="B25" s="61"/>
      <c r="C25" s="201" t="s">
        <v>70</v>
      </c>
      <c r="D25" s="201"/>
      <c r="E25" s="201"/>
      <c r="F25" s="62"/>
      <c r="G25" s="217"/>
      <c r="H25" s="218"/>
      <c r="I25" s="218"/>
      <c r="J25" s="219"/>
      <c r="K25" s="63"/>
      <c r="L25" s="60"/>
      <c r="P25" s="241"/>
      <c r="Q25" s="241"/>
    </row>
    <row r="26" spans="1:17" x14ac:dyDescent="0.25">
      <c r="A26" s="60"/>
      <c r="B26" s="61"/>
      <c r="C26" s="62"/>
      <c r="D26" s="62"/>
      <c r="E26" s="62"/>
      <c r="F26" s="62"/>
      <c r="G26" s="62"/>
      <c r="H26" s="62"/>
      <c r="I26" s="62"/>
      <c r="J26" s="62"/>
      <c r="K26" s="63"/>
      <c r="L26" s="60"/>
      <c r="P26" s="241"/>
      <c r="Q26" s="241"/>
    </row>
    <row r="27" spans="1:17" ht="15.75" thickBot="1" x14ac:dyDescent="0.3">
      <c r="A27" s="60"/>
      <c r="B27" s="61"/>
      <c r="C27" s="201" t="s">
        <v>71</v>
      </c>
      <c r="D27" s="201"/>
      <c r="E27" s="201"/>
      <c r="F27" s="62"/>
      <c r="G27" s="217"/>
      <c r="H27" s="218"/>
      <c r="I27" s="218"/>
      <c r="J27" s="219"/>
      <c r="K27" s="63"/>
      <c r="L27" s="60"/>
      <c r="P27" s="241"/>
      <c r="Q27" s="241"/>
    </row>
    <row r="28" spans="1:17" x14ac:dyDescent="0.25">
      <c r="A28" s="60"/>
      <c r="B28" s="61"/>
      <c r="C28" s="62"/>
      <c r="D28" s="62"/>
      <c r="E28" s="62"/>
      <c r="F28" s="62"/>
      <c r="G28" s="62"/>
      <c r="H28" s="62"/>
      <c r="I28" s="62"/>
      <c r="J28" s="62"/>
      <c r="K28" s="63"/>
      <c r="L28" s="60"/>
      <c r="P28" s="241"/>
      <c r="Q28" s="241"/>
    </row>
    <row r="29" spans="1:17" ht="15.75" thickBot="1" x14ac:dyDescent="0.3">
      <c r="A29" s="60"/>
      <c r="B29" s="61"/>
      <c r="C29" s="201" t="s">
        <v>72</v>
      </c>
      <c r="D29" s="201"/>
      <c r="E29" s="201"/>
      <c r="F29" s="62"/>
      <c r="G29" s="217"/>
      <c r="H29" s="218"/>
      <c r="I29" s="218"/>
      <c r="J29" s="219"/>
      <c r="K29" s="63"/>
      <c r="L29" s="60"/>
      <c r="P29" s="241"/>
      <c r="Q29" s="241"/>
    </row>
    <row r="30" spans="1:17" x14ac:dyDescent="0.25">
      <c r="A30" s="60"/>
      <c r="B30" s="61"/>
      <c r="C30" s="62"/>
      <c r="D30" s="62"/>
      <c r="E30" s="62"/>
      <c r="F30" s="62"/>
      <c r="G30" s="62"/>
      <c r="H30" s="62"/>
      <c r="I30" s="62"/>
      <c r="J30" s="62"/>
      <c r="K30" s="63"/>
      <c r="L30" s="60"/>
      <c r="P30" s="241"/>
      <c r="Q30" s="241"/>
    </row>
    <row r="31" spans="1:17" ht="15.75" thickBot="1" x14ac:dyDescent="0.3">
      <c r="A31" s="60"/>
      <c r="B31" s="61"/>
      <c r="C31" s="201" t="s">
        <v>73</v>
      </c>
      <c r="D31" s="201"/>
      <c r="E31" s="201"/>
      <c r="F31" s="62"/>
      <c r="G31" s="234"/>
      <c r="H31" s="235"/>
      <c r="I31" s="235"/>
      <c r="J31" s="236"/>
      <c r="K31" s="63"/>
      <c r="L31" s="60"/>
    </row>
    <row r="32" spans="1:17" x14ac:dyDescent="0.25">
      <c r="A32" s="60"/>
      <c r="B32" s="61"/>
      <c r="C32" s="62"/>
      <c r="D32" s="62"/>
      <c r="E32" s="62"/>
      <c r="F32" s="62"/>
      <c r="G32" s="62"/>
      <c r="H32" s="62"/>
      <c r="I32" s="62"/>
      <c r="J32" s="62"/>
      <c r="K32" s="63"/>
      <c r="L32" s="60"/>
    </row>
    <row r="33" spans="1:12" ht="15.75" thickBot="1" x14ac:dyDescent="0.3">
      <c r="A33" s="60"/>
      <c r="B33" s="61"/>
      <c r="C33" s="201" t="s">
        <v>74</v>
      </c>
      <c r="D33" s="201"/>
      <c r="E33" s="201"/>
      <c r="F33" s="62"/>
      <c r="G33" s="217"/>
      <c r="H33" s="218"/>
      <c r="I33" s="218"/>
      <c r="J33" s="219"/>
      <c r="K33" s="63"/>
      <c r="L33" s="60"/>
    </row>
    <row r="34" spans="1:12" x14ac:dyDescent="0.25">
      <c r="A34" s="60"/>
      <c r="B34" s="61"/>
      <c r="C34" s="62"/>
      <c r="D34" s="62"/>
      <c r="E34" s="62"/>
      <c r="F34" s="62"/>
      <c r="G34" s="62"/>
      <c r="H34" s="62"/>
      <c r="I34" s="62"/>
      <c r="J34" s="62"/>
      <c r="K34" s="63"/>
      <c r="L34" s="60"/>
    </row>
    <row r="35" spans="1:12" ht="15.75" x14ac:dyDescent="0.25">
      <c r="A35" s="60"/>
      <c r="B35" s="61"/>
      <c r="C35" s="200" t="s">
        <v>42</v>
      </c>
      <c r="D35" s="200"/>
      <c r="E35" s="200"/>
      <c r="F35" s="200"/>
      <c r="G35" s="200"/>
      <c r="H35" s="200"/>
      <c r="I35" s="200"/>
      <c r="J35" s="200"/>
      <c r="K35" s="63"/>
      <c r="L35" s="60"/>
    </row>
    <row r="36" spans="1:12" x14ac:dyDescent="0.25">
      <c r="A36" s="60"/>
      <c r="B36" s="61"/>
      <c r="C36" s="62"/>
      <c r="D36" s="62"/>
      <c r="E36" s="62"/>
      <c r="F36" s="62"/>
      <c r="G36" s="62"/>
      <c r="H36" s="62"/>
      <c r="I36" s="62"/>
      <c r="J36" s="62"/>
      <c r="K36" s="63"/>
      <c r="L36" s="60"/>
    </row>
    <row r="37" spans="1:12" ht="15.75" thickBot="1" x14ac:dyDescent="0.3">
      <c r="A37" s="60"/>
      <c r="B37" s="61"/>
      <c r="C37" s="201" t="s">
        <v>69</v>
      </c>
      <c r="D37" s="201"/>
      <c r="E37" s="201"/>
      <c r="F37" s="62"/>
      <c r="G37" s="217"/>
      <c r="H37" s="218"/>
      <c r="I37" s="218"/>
      <c r="J37" s="219"/>
      <c r="K37" s="63"/>
      <c r="L37" s="60"/>
    </row>
    <row r="38" spans="1:12" x14ac:dyDescent="0.25">
      <c r="A38" s="60"/>
      <c r="B38" s="61"/>
      <c r="C38" s="62"/>
      <c r="D38" s="62"/>
      <c r="E38" s="62"/>
      <c r="F38" s="62"/>
      <c r="G38" s="62"/>
      <c r="H38" s="62"/>
      <c r="I38" s="62"/>
      <c r="J38" s="62"/>
      <c r="K38" s="63"/>
      <c r="L38" s="60"/>
    </row>
    <row r="39" spans="1:12" ht="15.75" thickBot="1" x14ac:dyDescent="0.3">
      <c r="A39" s="60"/>
      <c r="B39" s="61"/>
      <c r="C39" s="201" t="s">
        <v>70</v>
      </c>
      <c r="D39" s="201"/>
      <c r="E39" s="201"/>
      <c r="F39" s="62"/>
      <c r="G39" s="217"/>
      <c r="H39" s="218"/>
      <c r="I39" s="218"/>
      <c r="J39" s="219"/>
      <c r="K39" s="63"/>
      <c r="L39" s="60"/>
    </row>
    <row r="40" spans="1:12" x14ac:dyDescent="0.25">
      <c r="A40" s="60"/>
      <c r="B40" s="61"/>
      <c r="C40" s="62"/>
      <c r="D40" s="62"/>
      <c r="E40" s="62"/>
      <c r="F40" s="62"/>
      <c r="G40" s="62"/>
      <c r="H40" s="62"/>
      <c r="I40" s="62"/>
      <c r="J40" s="62"/>
      <c r="K40" s="63"/>
      <c r="L40" s="60"/>
    </row>
    <row r="41" spans="1:12" ht="15.75" thickBot="1" x14ac:dyDescent="0.3">
      <c r="A41" s="60"/>
      <c r="B41" s="61"/>
      <c r="C41" s="201" t="s">
        <v>71</v>
      </c>
      <c r="D41" s="201"/>
      <c r="E41" s="201"/>
      <c r="F41" s="62"/>
      <c r="G41" s="217"/>
      <c r="H41" s="218"/>
      <c r="I41" s="218"/>
      <c r="J41" s="219"/>
      <c r="K41" s="63"/>
      <c r="L41" s="60"/>
    </row>
    <row r="42" spans="1:12" x14ac:dyDescent="0.25">
      <c r="A42" s="60"/>
      <c r="B42" s="61"/>
      <c r="C42" s="62"/>
      <c r="D42" s="62"/>
      <c r="E42" s="62"/>
      <c r="F42" s="62"/>
      <c r="G42" s="62"/>
      <c r="H42" s="62"/>
      <c r="I42" s="62"/>
      <c r="J42" s="62"/>
      <c r="K42" s="63"/>
      <c r="L42" s="60"/>
    </row>
    <row r="43" spans="1:12" ht="15.75" thickBot="1" x14ac:dyDescent="0.3">
      <c r="A43" s="60"/>
      <c r="B43" s="61"/>
      <c r="C43" s="201" t="s">
        <v>72</v>
      </c>
      <c r="D43" s="201"/>
      <c r="E43" s="201"/>
      <c r="F43" s="62"/>
      <c r="G43" s="217"/>
      <c r="H43" s="218"/>
      <c r="I43" s="218"/>
      <c r="J43" s="219"/>
      <c r="K43" s="63"/>
      <c r="L43" s="60"/>
    </row>
    <row r="44" spans="1:12" x14ac:dyDescent="0.25">
      <c r="A44" s="60"/>
      <c r="B44" s="61"/>
      <c r="C44" s="62"/>
      <c r="D44" s="62"/>
      <c r="E44" s="62"/>
      <c r="F44" s="62"/>
      <c r="G44" s="62"/>
      <c r="H44" s="62"/>
      <c r="I44" s="62"/>
      <c r="J44" s="62"/>
      <c r="K44" s="63"/>
      <c r="L44" s="60"/>
    </row>
    <row r="45" spans="1:12" ht="15.75" customHeight="1" thickBot="1" x14ac:dyDescent="0.3">
      <c r="A45" s="60"/>
      <c r="B45" s="61"/>
      <c r="C45" s="201" t="s">
        <v>75</v>
      </c>
      <c r="D45" s="201"/>
      <c r="E45" s="201"/>
      <c r="F45" s="62"/>
      <c r="G45" s="237"/>
      <c r="H45" s="237"/>
      <c r="I45" s="237"/>
      <c r="J45" s="238"/>
      <c r="K45" s="63"/>
      <c r="L45" s="60"/>
    </row>
    <row r="46" spans="1:12" x14ac:dyDescent="0.25">
      <c r="A46" s="60"/>
      <c r="B46" s="61"/>
      <c r="C46" s="62"/>
      <c r="D46" s="62"/>
      <c r="E46" s="62"/>
      <c r="F46" s="62"/>
      <c r="G46" s="237"/>
      <c r="H46" s="237"/>
      <c r="I46" s="237"/>
      <c r="J46" s="238"/>
      <c r="K46" s="63"/>
      <c r="L46" s="60"/>
    </row>
    <row r="47" spans="1:12" ht="15.75" thickBot="1" x14ac:dyDescent="0.3">
      <c r="A47" s="60"/>
      <c r="B47" s="61"/>
      <c r="C47" s="62"/>
      <c r="D47" s="62"/>
      <c r="E47" s="62"/>
      <c r="F47" s="62"/>
      <c r="G47" s="239"/>
      <c r="H47" s="239"/>
      <c r="I47" s="239"/>
      <c r="J47" s="240"/>
      <c r="K47" s="63"/>
      <c r="L47" s="60"/>
    </row>
    <row r="48" spans="1:12" x14ac:dyDescent="0.25">
      <c r="A48" s="60"/>
      <c r="B48" s="61"/>
      <c r="C48" s="62"/>
      <c r="D48" s="62"/>
      <c r="E48" s="62"/>
      <c r="F48" s="62"/>
      <c r="G48" s="62"/>
      <c r="H48" s="62"/>
      <c r="I48" s="62"/>
      <c r="J48" s="62"/>
      <c r="K48" s="63"/>
      <c r="L48" s="60"/>
    </row>
    <row r="49" spans="1:12" x14ac:dyDescent="0.25">
      <c r="A49" s="60"/>
      <c r="B49" s="61"/>
      <c r="C49" s="62"/>
      <c r="D49" s="62"/>
      <c r="E49" s="62"/>
      <c r="F49" s="62"/>
      <c r="G49" s="62"/>
      <c r="H49" s="62"/>
      <c r="I49" s="62"/>
      <c r="J49" s="62"/>
      <c r="K49" s="63"/>
      <c r="L49" s="60"/>
    </row>
    <row r="50" spans="1:12" ht="15.75" x14ac:dyDescent="0.25">
      <c r="A50" s="60"/>
      <c r="B50" s="61"/>
      <c r="C50" s="200" t="s">
        <v>38</v>
      </c>
      <c r="D50" s="200"/>
      <c r="E50" s="200"/>
      <c r="F50" s="200"/>
      <c r="G50" s="200"/>
      <c r="H50" s="200"/>
      <c r="I50" s="200"/>
      <c r="J50" s="200"/>
      <c r="K50" s="63"/>
      <c r="L50" s="60"/>
    </row>
    <row r="51" spans="1:12" x14ac:dyDescent="0.25">
      <c r="A51" s="60"/>
      <c r="B51" s="61"/>
      <c r="C51" s="62"/>
      <c r="D51" s="62"/>
      <c r="E51" s="62"/>
      <c r="F51" s="62"/>
      <c r="G51" s="62"/>
      <c r="H51" s="62"/>
      <c r="I51" s="62"/>
      <c r="J51" s="62"/>
      <c r="K51" s="63"/>
      <c r="L51" s="60"/>
    </row>
    <row r="52" spans="1:12" ht="15.75" thickBot="1" x14ac:dyDescent="0.3">
      <c r="A52" s="60"/>
      <c r="B52" s="61"/>
      <c r="C52" s="201" t="s">
        <v>15</v>
      </c>
      <c r="D52" s="201"/>
      <c r="E52" s="201"/>
      <c r="F52" s="62"/>
      <c r="G52" s="207"/>
      <c r="H52" s="208"/>
      <c r="I52" s="208"/>
      <c r="J52" s="209"/>
      <c r="K52" s="63"/>
      <c r="L52" s="60"/>
    </row>
    <row r="53" spans="1:12" x14ac:dyDescent="0.25">
      <c r="A53" s="60"/>
      <c r="B53" s="61"/>
      <c r="C53" s="62"/>
      <c r="D53" s="62"/>
      <c r="E53" s="62"/>
      <c r="F53" s="62"/>
      <c r="G53" s="62"/>
      <c r="H53" s="62"/>
      <c r="I53" s="62"/>
      <c r="J53" s="62"/>
      <c r="K53" s="63"/>
      <c r="L53" s="60"/>
    </row>
    <row r="54" spans="1:12" ht="15.75" thickBot="1" x14ac:dyDescent="0.3">
      <c r="A54" s="60"/>
      <c r="B54" s="61"/>
      <c r="C54" s="201" t="s">
        <v>16</v>
      </c>
      <c r="D54" s="201"/>
      <c r="E54" s="201"/>
      <c r="F54" s="62"/>
      <c r="G54" s="207"/>
      <c r="H54" s="208"/>
      <c r="I54" s="208"/>
      <c r="J54" s="209"/>
      <c r="K54" s="63"/>
      <c r="L54" s="60"/>
    </row>
    <row r="55" spans="1:12" x14ac:dyDescent="0.25">
      <c r="A55" s="60"/>
      <c r="B55" s="61"/>
      <c r="C55" s="62"/>
      <c r="D55" s="62"/>
      <c r="E55" s="62"/>
      <c r="F55" s="62"/>
      <c r="G55" s="62"/>
      <c r="H55" s="62"/>
      <c r="I55" s="62"/>
      <c r="J55" s="62"/>
      <c r="K55" s="63"/>
      <c r="L55" s="60"/>
    </row>
    <row r="56" spans="1:12" ht="16.5" thickBot="1" x14ac:dyDescent="0.3">
      <c r="A56" s="60"/>
      <c r="B56" s="61"/>
      <c r="C56" s="201" t="s">
        <v>82</v>
      </c>
      <c r="D56" s="201"/>
      <c r="E56" s="201"/>
      <c r="F56" s="62"/>
      <c r="G56" s="206">
        <f>G52-G54</f>
        <v>0</v>
      </c>
      <c r="H56" s="206"/>
      <c r="I56" s="206"/>
      <c r="J56" s="206"/>
      <c r="K56" s="63"/>
      <c r="L56" s="60"/>
    </row>
    <row r="57" spans="1:12" x14ac:dyDescent="0.25">
      <c r="A57" s="60"/>
      <c r="B57" s="61"/>
      <c r="C57" s="62"/>
      <c r="D57" s="62"/>
      <c r="E57" s="62"/>
      <c r="F57" s="62"/>
      <c r="G57" s="62"/>
      <c r="H57" s="62"/>
      <c r="I57" s="62"/>
      <c r="J57" s="62"/>
      <c r="K57" s="63"/>
      <c r="L57" s="60"/>
    </row>
    <row r="58" spans="1:12" ht="15.75" x14ac:dyDescent="0.25">
      <c r="A58" s="60"/>
      <c r="B58" s="61"/>
      <c r="C58" s="200" t="s">
        <v>380</v>
      </c>
      <c r="D58" s="200"/>
      <c r="E58" s="200"/>
      <c r="F58" s="200"/>
      <c r="G58" s="200"/>
      <c r="H58" s="200"/>
      <c r="I58" s="200"/>
      <c r="J58" s="200"/>
      <c r="K58" s="63"/>
      <c r="L58" s="60"/>
    </row>
    <row r="59" spans="1:12" x14ac:dyDescent="0.25">
      <c r="A59" s="60"/>
      <c r="B59" s="61"/>
      <c r="C59" s="62"/>
      <c r="D59" s="62"/>
      <c r="E59" s="62"/>
      <c r="F59" s="62"/>
      <c r="G59" s="62"/>
      <c r="H59" s="62"/>
      <c r="I59" s="62"/>
      <c r="J59" s="62"/>
      <c r="K59" s="63"/>
      <c r="L59" s="60"/>
    </row>
    <row r="60" spans="1:12" ht="15.75" thickBot="1" x14ac:dyDescent="0.3">
      <c r="A60" s="60"/>
      <c r="B60" s="61"/>
      <c r="C60" s="201" t="s">
        <v>381</v>
      </c>
      <c r="D60" s="201"/>
      <c r="E60" s="201"/>
      <c r="F60" s="62"/>
      <c r="G60" s="202"/>
      <c r="H60" s="202"/>
      <c r="I60" s="202"/>
      <c r="J60" s="203"/>
      <c r="K60" s="63"/>
      <c r="L60" s="60"/>
    </row>
    <row r="61" spans="1:12" x14ac:dyDescent="0.25">
      <c r="A61" s="60"/>
      <c r="B61" s="61"/>
      <c r="C61" s="62"/>
      <c r="D61" s="62"/>
      <c r="E61" s="62"/>
      <c r="F61" s="62"/>
      <c r="G61" s="202"/>
      <c r="H61" s="202"/>
      <c r="I61" s="202"/>
      <c r="J61" s="203"/>
      <c r="K61" s="63"/>
      <c r="L61" s="60"/>
    </row>
    <row r="62" spans="1:12" x14ac:dyDescent="0.25">
      <c r="A62" s="60"/>
      <c r="B62" s="61"/>
      <c r="C62" s="62"/>
      <c r="D62" s="62"/>
      <c r="E62" s="62"/>
      <c r="F62" s="62"/>
      <c r="G62" s="202"/>
      <c r="H62" s="202"/>
      <c r="I62" s="202"/>
      <c r="J62" s="203"/>
      <c r="K62" s="63"/>
      <c r="L62" s="60"/>
    </row>
    <row r="63" spans="1:12" x14ac:dyDescent="0.25">
      <c r="A63" s="60"/>
      <c r="B63" s="61"/>
      <c r="C63" s="62"/>
      <c r="D63" s="62"/>
      <c r="E63" s="62"/>
      <c r="F63" s="62"/>
      <c r="G63" s="202"/>
      <c r="H63" s="202"/>
      <c r="I63" s="202"/>
      <c r="J63" s="203"/>
      <c r="K63" s="63"/>
      <c r="L63" s="60"/>
    </row>
    <row r="64" spans="1:12" x14ac:dyDescent="0.25">
      <c r="A64" s="60"/>
      <c r="B64" s="61"/>
      <c r="C64" s="62"/>
      <c r="D64" s="62"/>
      <c r="E64" s="62"/>
      <c r="F64" s="62"/>
      <c r="G64" s="202"/>
      <c r="H64" s="202"/>
      <c r="I64" s="202"/>
      <c r="J64" s="203"/>
      <c r="K64" s="63"/>
      <c r="L64" s="60"/>
    </row>
    <row r="65" spans="1:12" x14ac:dyDescent="0.25">
      <c r="A65" s="60"/>
      <c r="B65" s="61"/>
      <c r="C65" s="62"/>
      <c r="D65" s="62"/>
      <c r="E65" s="62"/>
      <c r="F65" s="62"/>
      <c r="G65" s="202"/>
      <c r="H65" s="202"/>
      <c r="I65" s="202"/>
      <c r="J65" s="203"/>
      <c r="K65" s="63"/>
      <c r="L65" s="60"/>
    </row>
    <row r="66" spans="1:12" ht="15.75" thickBot="1" x14ac:dyDescent="0.3">
      <c r="A66" s="60"/>
      <c r="B66" s="61"/>
      <c r="C66" s="62"/>
      <c r="D66" s="62"/>
      <c r="E66" s="62"/>
      <c r="F66" s="62"/>
      <c r="G66" s="204"/>
      <c r="H66" s="204"/>
      <c r="I66" s="204"/>
      <c r="J66" s="205"/>
      <c r="K66" s="63"/>
      <c r="L66" s="60"/>
    </row>
    <row r="67" spans="1:12" ht="15.75" thickTop="1" x14ac:dyDescent="0.25">
      <c r="A67" s="60"/>
      <c r="B67" s="61"/>
      <c r="C67" s="62"/>
      <c r="D67" s="62"/>
      <c r="E67" s="62"/>
      <c r="F67" s="62"/>
      <c r="G67" s="62"/>
      <c r="H67" s="62"/>
      <c r="I67" s="62"/>
      <c r="J67" s="62"/>
      <c r="K67" s="63"/>
      <c r="L67" s="60"/>
    </row>
    <row r="68" spans="1:12" x14ac:dyDescent="0.25">
      <c r="A68" s="60"/>
      <c r="B68" s="61"/>
      <c r="C68" s="62"/>
      <c r="D68" s="62"/>
      <c r="E68" s="62"/>
      <c r="F68" s="62"/>
      <c r="G68" s="62"/>
      <c r="H68" s="62"/>
      <c r="I68" s="62"/>
      <c r="J68" s="62"/>
      <c r="K68" s="63"/>
      <c r="L68" s="60"/>
    </row>
    <row r="69" spans="1:12" x14ac:dyDescent="0.25">
      <c r="A69" s="60"/>
      <c r="B69" s="61"/>
      <c r="C69" s="62"/>
      <c r="D69" s="62"/>
      <c r="E69" s="62"/>
      <c r="F69" s="62"/>
      <c r="G69" s="62"/>
      <c r="H69" s="62"/>
      <c r="I69" s="62"/>
      <c r="J69" s="62"/>
      <c r="K69" s="63"/>
      <c r="L69" s="60"/>
    </row>
    <row r="70" spans="1:12" x14ac:dyDescent="0.25">
      <c r="A70" s="60"/>
      <c r="B70" s="61"/>
      <c r="C70" s="62"/>
      <c r="D70" s="62"/>
      <c r="E70" s="62"/>
      <c r="F70" s="62"/>
      <c r="G70" s="62"/>
      <c r="H70" s="62"/>
      <c r="I70" s="62"/>
      <c r="J70" s="62"/>
      <c r="K70" s="63"/>
      <c r="L70" s="60"/>
    </row>
    <row r="71" spans="1:12" x14ac:dyDescent="0.25">
      <c r="A71" s="60"/>
      <c r="B71" s="61"/>
      <c r="C71" s="62"/>
      <c r="D71" s="62"/>
      <c r="E71" s="62"/>
      <c r="F71" s="62"/>
      <c r="G71" s="62"/>
      <c r="H71" s="62"/>
      <c r="I71" s="62"/>
      <c r="J71" s="62"/>
      <c r="K71" s="63"/>
      <c r="L71" s="60"/>
    </row>
    <row r="72" spans="1:12" ht="15.75" thickBot="1" x14ac:dyDescent="0.3">
      <c r="A72" s="60"/>
      <c r="B72" s="64"/>
      <c r="C72" s="65"/>
      <c r="D72" s="65"/>
      <c r="E72" s="65"/>
      <c r="F72" s="65"/>
      <c r="G72" s="65"/>
      <c r="H72" s="65"/>
      <c r="I72" s="65"/>
      <c r="J72" s="65"/>
      <c r="K72" s="66"/>
      <c r="L72" s="60"/>
    </row>
    <row r="73" spans="1:12" x14ac:dyDescent="0.25">
      <c r="A73" s="60"/>
      <c r="B73" s="60"/>
      <c r="C73" s="60"/>
      <c r="D73" s="60"/>
      <c r="E73" s="60"/>
      <c r="F73" s="60"/>
      <c r="G73" s="60"/>
      <c r="H73" s="60"/>
      <c r="I73" s="60"/>
      <c r="J73" s="60"/>
      <c r="K73" s="60"/>
      <c r="L73" s="60"/>
    </row>
  </sheetData>
  <dataConsolidate/>
  <mergeCells count="55">
    <mergeCell ref="P29:Q29"/>
    <mergeCell ref="P30:Q30"/>
    <mergeCell ref="P24:Q24"/>
    <mergeCell ref="P25:Q25"/>
    <mergeCell ref="P26:Q26"/>
    <mergeCell ref="P27:Q27"/>
    <mergeCell ref="P28:Q28"/>
    <mergeCell ref="G45:J47"/>
    <mergeCell ref="C41:E41"/>
    <mergeCell ref="G41:J41"/>
    <mergeCell ref="C43:E43"/>
    <mergeCell ref="G43:J43"/>
    <mergeCell ref="C45:E45"/>
    <mergeCell ref="C35:J35"/>
    <mergeCell ref="C37:E37"/>
    <mergeCell ref="G37:J37"/>
    <mergeCell ref="C39:E39"/>
    <mergeCell ref="G39:J39"/>
    <mergeCell ref="C29:E29"/>
    <mergeCell ref="G29:J29"/>
    <mergeCell ref="C31:E31"/>
    <mergeCell ref="G31:J31"/>
    <mergeCell ref="C33:E33"/>
    <mergeCell ref="G33:J33"/>
    <mergeCell ref="C27:E27"/>
    <mergeCell ref="G27:J27"/>
    <mergeCell ref="C10:E10"/>
    <mergeCell ref="G10:J10"/>
    <mergeCell ref="C12:E12"/>
    <mergeCell ref="G12:J12"/>
    <mergeCell ref="C14:E14"/>
    <mergeCell ref="G14:J14"/>
    <mergeCell ref="C16:E16"/>
    <mergeCell ref="G16:J19"/>
    <mergeCell ref="C23:E23"/>
    <mergeCell ref="G23:J23"/>
    <mergeCell ref="C25:E25"/>
    <mergeCell ref="C21:J21"/>
    <mergeCell ref="G25:J25"/>
    <mergeCell ref="B2:K2"/>
    <mergeCell ref="B3:K3"/>
    <mergeCell ref="C6:E6"/>
    <mergeCell ref="G6:J6"/>
    <mergeCell ref="C8:E8"/>
    <mergeCell ref="G8:J8"/>
    <mergeCell ref="C50:J50"/>
    <mergeCell ref="C52:E52"/>
    <mergeCell ref="G52:J52"/>
    <mergeCell ref="C54:E54"/>
    <mergeCell ref="G54:J54"/>
    <mergeCell ref="C58:J58"/>
    <mergeCell ref="C60:E60"/>
    <mergeCell ref="G60:J66"/>
    <mergeCell ref="C56:E56"/>
    <mergeCell ref="G56:J56"/>
  </mergeCells>
  <dataValidations count="3">
    <dataValidation type="whole" allowBlank="1" showInputMessage="1" showErrorMessage="1" sqref="G52:J52" xr:uid="{00000000-0002-0000-0000-000000000000}">
      <formula1>1</formula1>
      <formula2>999999</formula2>
    </dataValidation>
    <dataValidation type="whole" allowBlank="1" showInputMessage="1" showErrorMessage="1" sqref="G6:J6" xr:uid="{00000000-0002-0000-0000-000001000000}">
      <formula1>1</formula1>
      <formula2>99999999</formula2>
    </dataValidation>
    <dataValidation type="whole" operator="equal" allowBlank="1" showInputMessage="1" showErrorMessage="1" sqref="G12:J12" xr:uid="{00000000-0002-0000-0000-000002000000}">
      <formula1>G12</formula1>
    </dataValidation>
  </dataValidations>
  <pageMargins left="0.17" right="0.15748031496062992" top="0.39370078740157483" bottom="0.74803149606299213" header="0.31496062992125984" footer="0.31496062992125984"/>
  <pageSetup paperSize="9" scale="75" orientation="portrait" r:id="rId1"/>
  <drawing r:id="rId2"/>
  <legacyDrawing r:id="rId3"/>
  <controls>
    <mc:AlternateContent xmlns:mc="http://schemas.openxmlformats.org/markup-compatibility/2006">
      <mc:Choice Requires="x14">
        <control shapeId="4100" r:id="rId4" name="cmdReset">
          <controlPr autoLine="0" r:id="rId5">
            <anchor moveWithCells="1">
              <from>
                <xdr:col>9</xdr:col>
                <xdr:colOff>352425</xdr:colOff>
                <xdr:row>69</xdr:row>
                <xdr:rowOff>28575</xdr:rowOff>
              </from>
              <to>
                <xdr:col>10</xdr:col>
                <xdr:colOff>504825</xdr:colOff>
                <xdr:row>70</xdr:row>
                <xdr:rowOff>142875</xdr:rowOff>
              </to>
            </anchor>
          </controlPr>
        </control>
      </mc:Choice>
      <mc:Fallback>
        <control shapeId="4100" r:id="rId4" name="cmdReset"/>
      </mc:Fallback>
    </mc:AlternateContent>
    <mc:AlternateContent xmlns:mc="http://schemas.openxmlformats.org/markup-compatibility/2006">
      <mc:Choice Requires="x14">
        <control shapeId="4099" r:id="rId6" name="cmdDelete">
          <controlPr autoLine="0" r:id="rId7">
            <anchor moveWithCells="1">
              <from>
                <xdr:col>8</xdr:col>
                <xdr:colOff>152400</xdr:colOff>
                <xdr:row>69</xdr:row>
                <xdr:rowOff>28575</xdr:rowOff>
              </from>
              <to>
                <xdr:col>9</xdr:col>
                <xdr:colOff>304800</xdr:colOff>
                <xdr:row>70</xdr:row>
                <xdr:rowOff>142875</xdr:rowOff>
              </to>
            </anchor>
          </controlPr>
        </control>
      </mc:Choice>
      <mc:Fallback>
        <control shapeId="4099" r:id="rId6" name="cmdDelete"/>
      </mc:Fallback>
    </mc:AlternateContent>
    <mc:AlternateContent xmlns:mc="http://schemas.openxmlformats.org/markup-compatibility/2006">
      <mc:Choice Requires="x14">
        <control shapeId="4098" r:id="rId8" name="cmdModify">
          <controlPr autoLine="0" r:id="rId9">
            <anchor moveWithCells="1">
              <from>
                <xdr:col>6</xdr:col>
                <xdr:colOff>685800</xdr:colOff>
                <xdr:row>69</xdr:row>
                <xdr:rowOff>28575</xdr:rowOff>
              </from>
              <to>
                <xdr:col>8</xdr:col>
                <xdr:colOff>114300</xdr:colOff>
                <xdr:row>70</xdr:row>
                <xdr:rowOff>152400</xdr:rowOff>
              </to>
            </anchor>
          </controlPr>
        </control>
      </mc:Choice>
      <mc:Fallback>
        <control shapeId="4098" r:id="rId8" name="cmdModify"/>
      </mc:Fallback>
    </mc:AlternateContent>
    <mc:AlternateContent xmlns:mc="http://schemas.openxmlformats.org/markup-compatibility/2006">
      <mc:Choice Requires="x14">
        <control shapeId="4097" r:id="rId10" name="cmdSave">
          <controlPr autoLine="0" r:id="rId11">
            <anchor moveWithCells="1">
              <from>
                <xdr:col>5</xdr:col>
                <xdr:colOff>419100</xdr:colOff>
                <xdr:row>69</xdr:row>
                <xdr:rowOff>38100</xdr:rowOff>
              </from>
              <to>
                <xdr:col>6</xdr:col>
                <xdr:colOff>638175</xdr:colOff>
                <xdr:row>70</xdr:row>
                <xdr:rowOff>161925</xdr:rowOff>
              </to>
            </anchor>
          </controlPr>
        </control>
      </mc:Choice>
      <mc:Fallback>
        <control shapeId="4097" r:id="rId10" name="cmdSav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Opciones!$A$4:$A$11</xm:f>
          </x14:formula1>
          <xm:sqref>G29:J29 G43:J43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3:B11"/>
  <sheetViews>
    <sheetView workbookViewId="0">
      <selection activeCell="B12" sqref="B12"/>
    </sheetView>
  </sheetViews>
  <sheetFormatPr baseColWidth="10" defaultRowHeight="15" x14ac:dyDescent="0.25"/>
  <cols>
    <col min="1" max="1" width="18.42578125" bestFit="1" customWidth="1"/>
  </cols>
  <sheetData>
    <row r="3" spans="1:2" x14ac:dyDescent="0.25">
      <c r="A3" s="77" t="s">
        <v>72</v>
      </c>
    </row>
    <row r="4" spans="1:2" x14ac:dyDescent="0.25">
      <c r="A4" s="77"/>
    </row>
    <row r="5" spans="1:2" x14ac:dyDescent="0.25">
      <c r="A5" s="78" t="s">
        <v>85</v>
      </c>
    </row>
    <row r="6" spans="1:2" x14ac:dyDescent="0.25">
      <c r="A6" s="78" t="s">
        <v>86</v>
      </c>
    </row>
    <row r="7" spans="1:2" x14ac:dyDescent="0.25">
      <c r="A7" s="78" t="s">
        <v>87</v>
      </c>
      <c r="B7" s="75"/>
    </row>
    <row r="8" spans="1:2" x14ac:dyDescent="0.25">
      <c r="A8" s="78" t="s">
        <v>88</v>
      </c>
    </row>
    <row r="9" spans="1:2" x14ac:dyDescent="0.25">
      <c r="A9" s="78" t="s">
        <v>89</v>
      </c>
    </row>
    <row r="10" spans="1:2" x14ac:dyDescent="0.25">
      <c r="A10" s="78" t="s">
        <v>90</v>
      </c>
    </row>
    <row r="11" spans="1:2" x14ac:dyDescent="0.25">
      <c r="A11" s="78" t="s">
        <v>91</v>
      </c>
    </row>
  </sheetData>
  <dataConsolidate function="mi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8FC4057-362E-460E-8D10-6391D223C22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Vista</vt:lpstr>
      <vt:lpstr>Base de Datos</vt:lpstr>
      <vt:lpstr>Vacaciones</vt:lpstr>
      <vt:lpstr>Opciones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Andres Morales</dc:creator>
  <cp:lastModifiedBy>user</cp:lastModifiedBy>
  <cp:lastPrinted>2022-11-25T21:56:17Z</cp:lastPrinted>
  <dcterms:created xsi:type="dcterms:W3CDTF">2022-04-05T17:58:53Z</dcterms:created>
  <dcterms:modified xsi:type="dcterms:W3CDTF">2022-11-28T16:56:15Z</dcterms:modified>
</cp:coreProperties>
</file>